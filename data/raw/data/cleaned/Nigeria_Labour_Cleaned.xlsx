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3mtt capstone\Nigeria_Labour_Dashboard\cleaned_data\"/>
    </mc:Choice>
  </mc:AlternateContent>
  <xr:revisionPtr revIDLastSave="0" documentId="13_ncr:1_{B25842AA-4B68-4F88-B6B8-A67D69C4AE85}" xr6:coauthVersionLast="47" xr6:coauthVersionMax="47" xr10:uidLastSave="{00000000-0000-0000-0000-000000000000}"/>
  <bookViews>
    <workbookView xWindow="-110" yWindow="-110" windowWidth="19420" windowHeight="10420" firstSheet="2" activeTab="7" xr2:uid="{E64B2A3B-B041-4D71-A01F-FCF561FE8AB3}"/>
  </bookViews>
  <sheets>
    <sheet name="Labour_Master" sheetId="9" r:id="rId1"/>
    <sheet name="tblLabour2022" sheetId="1" r:id="rId2"/>
    <sheet name="tblLabour2020" sheetId="2" r:id="rId3"/>
    <sheet name="Column_Mapping" sheetId="7" r:id="rId4"/>
    <sheet name="State_Lookup" sheetId="8" r:id="rId5"/>
    <sheet name="tblPopulation" sheetId="3" r:id="rId6"/>
    <sheet name="tblCalendar" sheetId="4" r:id="rId7"/>
    <sheet name="Sheet1" sheetId="10" r:id="rId8"/>
  </sheets>
  <definedNames>
    <definedName name="ExternalData_1" localSheetId="0" hidden="1">Labour_Master!$A$1:$AC$75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" i="9" l="1"/>
  <c r="W2" i="2"/>
  <c r="K2" i="2"/>
  <c r="J2" i="2"/>
  <c r="F2" i="2"/>
  <c r="G2" i="2"/>
  <c r="K4" i="1"/>
  <c r="AD3" i="9"/>
  <c r="AD4" i="9"/>
  <c r="AD5" i="9"/>
  <c r="AD6" i="9"/>
  <c r="AD7" i="9"/>
  <c r="AD8" i="9"/>
  <c r="AD9" i="9"/>
  <c r="AD10" i="9"/>
  <c r="AD11" i="9"/>
  <c r="AD12" i="9"/>
  <c r="AD13" i="9"/>
  <c r="AD14" i="9"/>
  <c r="AD15" i="9"/>
  <c r="AD16" i="9"/>
  <c r="AD17" i="9"/>
  <c r="AD18" i="9"/>
  <c r="AD19" i="9"/>
  <c r="AD20" i="9"/>
  <c r="AD21" i="9"/>
  <c r="AD22" i="9"/>
  <c r="AD23" i="9"/>
  <c r="AD24" i="9"/>
  <c r="AD25" i="9"/>
  <c r="AD26" i="9"/>
  <c r="AD27" i="9"/>
  <c r="AD28" i="9"/>
  <c r="AD29" i="9"/>
  <c r="AD30" i="9"/>
  <c r="AD31" i="9"/>
  <c r="AD32" i="9"/>
  <c r="AD33" i="9"/>
  <c r="AD34" i="9"/>
  <c r="AD35" i="9"/>
  <c r="AD36" i="9"/>
  <c r="AD37" i="9"/>
  <c r="AD38" i="9"/>
  <c r="AD39" i="9"/>
  <c r="AD40" i="9"/>
  <c r="AD41" i="9"/>
  <c r="AD42" i="9"/>
  <c r="AD43" i="9"/>
  <c r="AD44" i="9"/>
  <c r="AD45" i="9"/>
  <c r="AD46" i="9"/>
  <c r="AD47" i="9"/>
  <c r="AD48" i="9"/>
  <c r="AD49" i="9"/>
  <c r="AD50" i="9"/>
  <c r="AD51" i="9"/>
  <c r="AD52" i="9"/>
  <c r="AD53" i="9"/>
  <c r="AD54" i="9"/>
  <c r="AD55" i="9"/>
  <c r="AD56" i="9"/>
  <c r="AD57" i="9"/>
  <c r="AD58" i="9"/>
  <c r="AD59" i="9"/>
  <c r="AD60" i="9"/>
  <c r="AD61" i="9"/>
  <c r="AD62" i="9"/>
  <c r="AD63" i="9"/>
  <c r="AD64" i="9"/>
  <c r="AD65" i="9"/>
  <c r="AD66" i="9"/>
  <c r="AD67" i="9"/>
  <c r="AD68" i="9"/>
  <c r="AD69" i="9"/>
  <c r="AD70" i="9"/>
  <c r="AD71" i="9"/>
  <c r="AD72" i="9"/>
  <c r="AD73" i="9"/>
  <c r="AD74" i="9"/>
  <c r="AD75" i="9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3" i="1"/>
  <c r="K2" i="1"/>
  <c r="X38" i="2"/>
  <c r="V38" i="2"/>
  <c r="W38" i="2" s="1"/>
  <c r="G38" i="2"/>
  <c r="X37" i="2"/>
  <c r="V37" i="2"/>
  <c r="W37" i="2" s="1"/>
  <c r="G37" i="2"/>
  <c r="X36" i="2"/>
  <c r="V36" i="2"/>
  <c r="W36" i="2" s="1"/>
  <c r="G36" i="2"/>
  <c r="X35" i="2"/>
  <c r="V35" i="2"/>
  <c r="W35" i="2" s="1"/>
  <c r="G35" i="2"/>
  <c r="X34" i="2"/>
  <c r="V34" i="2"/>
  <c r="W34" i="2" s="1"/>
  <c r="G34" i="2"/>
  <c r="X33" i="2"/>
  <c r="V33" i="2"/>
  <c r="W33" i="2" s="1"/>
  <c r="G33" i="2"/>
  <c r="X32" i="2"/>
  <c r="V32" i="2"/>
  <c r="W32" i="2" s="1"/>
  <c r="G32" i="2"/>
  <c r="X31" i="2"/>
  <c r="V31" i="2"/>
  <c r="W31" i="2" s="1"/>
  <c r="G31" i="2"/>
  <c r="X30" i="2"/>
  <c r="V30" i="2"/>
  <c r="W30" i="2" s="1"/>
  <c r="G30" i="2"/>
  <c r="X29" i="2"/>
  <c r="V29" i="2"/>
  <c r="W29" i="2" s="1"/>
  <c r="G29" i="2"/>
  <c r="X28" i="2"/>
  <c r="V28" i="2"/>
  <c r="W28" i="2" s="1"/>
  <c r="G28" i="2"/>
  <c r="X27" i="2"/>
  <c r="V27" i="2"/>
  <c r="W27" i="2" s="1"/>
  <c r="G27" i="2"/>
  <c r="X26" i="2"/>
  <c r="V26" i="2"/>
  <c r="W26" i="2" s="1"/>
  <c r="G26" i="2"/>
  <c r="X25" i="2"/>
  <c r="V25" i="2"/>
  <c r="W25" i="2" s="1"/>
  <c r="G25" i="2"/>
  <c r="X24" i="2"/>
  <c r="V24" i="2"/>
  <c r="W24" i="2" s="1"/>
  <c r="G24" i="2"/>
  <c r="X23" i="2"/>
  <c r="V23" i="2"/>
  <c r="W23" i="2" s="1"/>
  <c r="G23" i="2"/>
  <c r="X22" i="2"/>
  <c r="V22" i="2"/>
  <c r="W22" i="2" s="1"/>
  <c r="G22" i="2"/>
  <c r="X21" i="2"/>
  <c r="V21" i="2"/>
  <c r="W21" i="2" s="1"/>
  <c r="G21" i="2"/>
  <c r="X20" i="2"/>
  <c r="V20" i="2"/>
  <c r="W20" i="2" s="1"/>
  <c r="G20" i="2"/>
  <c r="X19" i="2"/>
  <c r="V19" i="2"/>
  <c r="W19" i="2" s="1"/>
  <c r="G19" i="2"/>
  <c r="X18" i="2"/>
  <c r="V18" i="2"/>
  <c r="W18" i="2" s="1"/>
  <c r="G18" i="2"/>
  <c r="X17" i="2"/>
  <c r="V17" i="2"/>
  <c r="W17" i="2" s="1"/>
  <c r="G17" i="2"/>
  <c r="X16" i="2"/>
  <c r="V16" i="2"/>
  <c r="W16" i="2" s="1"/>
  <c r="G16" i="2"/>
  <c r="X15" i="2"/>
  <c r="V15" i="2"/>
  <c r="W15" i="2" s="1"/>
  <c r="G15" i="2"/>
  <c r="X14" i="2"/>
  <c r="V14" i="2"/>
  <c r="W14" i="2" s="1"/>
  <c r="G14" i="2"/>
  <c r="X13" i="2"/>
  <c r="V13" i="2"/>
  <c r="W13" i="2" s="1"/>
  <c r="G13" i="2"/>
  <c r="X12" i="2"/>
  <c r="V12" i="2"/>
  <c r="W12" i="2" s="1"/>
  <c r="G12" i="2"/>
  <c r="X11" i="2"/>
  <c r="V11" i="2"/>
  <c r="W11" i="2" s="1"/>
  <c r="G11" i="2"/>
  <c r="X10" i="2"/>
  <c r="V10" i="2"/>
  <c r="W10" i="2" s="1"/>
  <c r="G10" i="2"/>
  <c r="X9" i="2"/>
  <c r="V9" i="2"/>
  <c r="W9" i="2" s="1"/>
  <c r="G9" i="2"/>
  <c r="X8" i="2"/>
  <c r="V8" i="2"/>
  <c r="W8" i="2" s="1"/>
  <c r="G8" i="2"/>
  <c r="X7" i="2"/>
  <c r="V7" i="2"/>
  <c r="W7" i="2" s="1"/>
  <c r="G7" i="2"/>
  <c r="X6" i="2"/>
  <c r="V6" i="2"/>
  <c r="W6" i="2" s="1"/>
  <c r="G6" i="2"/>
  <c r="X5" i="2"/>
  <c r="V5" i="2"/>
  <c r="W5" i="2" s="1"/>
  <c r="G5" i="2"/>
  <c r="X4" i="2"/>
  <c r="V4" i="2"/>
  <c r="W4" i="2" s="1"/>
  <c r="G4" i="2"/>
  <c r="X3" i="2"/>
  <c r="V3" i="2"/>
  <c r="W3" i="2" s="1"/>
  <c r="G3" i="2"/>
  <c r="X2" i="2"/>
  <c r="V2" i="2"/>
  <c r="F15" i="2" l="1"/>
  <c r="J15" i="2" s="1"/>
  <c r="F3" i="2"/>
  <c r="J3" i="2" s="1"/>
  <c r="F16" i="2"/>
  <c r="J16" i="2" s="1"/>
  <c r="F36" i="2"/>
  <c r="J36" i="2" s="1"/>
  <c r="F35" i="2"/>
  <c r="J35" i="2" s="1"/>
  <c r="F11" i="2"/>
  <c r="J11" i="2" s="1"/>
  <c r="F12" i="2"/>
  <c r="J12" i="2" s="1"/>
  <c r="F34" i="2"/>
  <c r="J34" i="2" s="1"/>
  <c r="F10" i="2"/>
  <c r="J10" i="2" s="1"/>
  <c r="F32" i="2"/>
  <c r="J32" i="2" s="1"/>
  <c r="F8" i="2"/>
  <c r="J8" i="2" s="1"/>
  <c r="F27" i="2"/>
  <c r="J27" i="2" s="1"/>
  <c r="F28" i="2"/>
  <c r="J28" i="2" s="1"/>
  <c r="F24" i="2"/>
  <c r="J24" i="2" s="1"/>
  <c r="F23" i="2"/>
  <c r="J23" i="2" s="1"/>
  <c r="F22" i="2"/>
  <c r="J22" i="2" s="1"/>
  <c r="F20" i="2"/>
  <c r="J20" i="2" s="1"/>
  <c r="F33" i="2"/>
  <c r="J33" i="2" s="1"/>
  <c r="F31" i="2"/>
  <c r="J31" i="2" s="1"/>
  <c r="F19" i="2"/>
  <c r="J19" i="2" s="1"/>
  <c r="F7" i="2"/>
  <c r="J7" i="2" s="1"/>
  <c r="F9" i="2"/>
  <c r="J9" i="2" s="1"/>
  <c r="F6" i="2"/>
  <c r="J6" i="2" s="1"/>
  <c r="F21" i="2"/>
  <c r="J21" i="2" s="1"/>
  <c r="F30" i="2"/>
  <c r="J30" i="2" s="1"/>
  <c r="F18" i="2"/>
  <c r="J18" i="2" s="1"/>
  <c r="F29" i="2"/>
  <c r="J29" i="2" s="1"/>
  <c r="F17" i="2"/>
  <c r="J17" i="2" s="1"/>
  <c r="F5" i="2"/>
  <c r="J5" i="2" s="1"/>
  <c r="F38" i="2"/>
  <c r="J38" i="2" s="1"/>
  <c r="F26" i="2"/>
  <c r="J26" i="2" s="1"/>
  <c r="F14" i="2"/>
  <c r="J14" i="2" s="1"/>
  <c r="F4" i="2"/>
  <c r="J4" i="2" s="1"/>
  <c r="F37" i="2"/>
  <c r="J37" i="2" s="1"/>
  <c r="F25" i="2"/>
  <c r="J25" i="2" s="1"/>
  <c r="F13" i="2"/>
  <c r="J1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7B3E37-1826-48BC-921A-BBB44D952BA4}" keepAlive="1" name="Query - Labour_Master" description="Connection to the 'Labour_Master' query in the workbook." type="5" refreshedVersion="8" background="1" saveData="1">
    <dbPr connection="Provider=Microsoft.Mashup.OleDb.1;Data Source=$Workbook$;Location=Labour_Master;Extended Properties=&quot;&quot;" command="SELECT * FROM [Labour_Master]"/>
  </connection>
  <connection id="2" xr16:uid="{E51FEBC5-66FB-452D-A7F9-571D467FAB12}" keepAlive="1" name="Query - qryLabour2020" description="Connection to the 'qryLabour2020' query in the workbook." type="5" refreshedVersion="0" background="1">
    <dbPr connection="Provider=Microsoft.Mashup.OleDb.1;Data Source=$Workbook$;Location=qryLabour2020;Extended Properties=&quot;&quot;" command="SELECT * FROM [qryLabour2020]"/>
  </connection>
  <connection id="3" xr16:uid="{6123825A-4F7F-4F92-B525-028C397FA401}" keepAlive="1" name="Query - qryLabour2022" description="Connection to the 'qryLabour2022' query in the workbook." type="5" refreshedVersion="0" background="1">
    <dbPr connection="Provider=Microsoft.Mashup.OleDb.1;Data Source=$Workbook$;Location=qryLabour2022;Extended Properties=&quot;&quot;" command="SELECT * FROM [qryLabour2022]"/>
  </connection>
</connections>
</file>

<file path=xl/sharedStrings.xml><?xml version="1.0" encoding="utf-8"?>
<sst xmlns="http://schemas.openxmlformats.org/spreadsheetml/2006/main" count="1050" uniqueCount="176">
  <si>
    <t>State_Code</t>
  </si>
  <si>
    <t>Geopolitical_Zone</t>
  </si>
  <si>
    <t>Zone_Abbr</t>
  </si>
  <si>
    <t>State</t>
  </si>
  <si>
    <t>Labour_Force</t>
  </si>
  <si>
    <t>Employed</t>
  </si>
  <si>
    <t>Unemployed</t>
  </si>
  <si>
    <t>Unemployment_Rate</t>
  </si>
  <si>
    <t>Underemployment_Rate</t>
  </si>
  <si>
    <t>LFPR</t>
  </si>
  <si>
    <t>EPR</t>
  </si>
  <si>
    <t>Self_Employed</t>
  </si>
  <si>
    <t>Employees</t>
  </si>
  <si>
    <t>Informal_Employment</t>
  </si>
  <si>
    <t>NEET_15_24</t>
  </si>
  <si>
    <t>LU2</t>
  </si>
  <si>
    <t>LU3</t>
  </si>
  <si>
    <t>LU4</t>
  </si>
  <si>
    <t>Working_Age_Pop</t>
  </si>
  <si>
    <t>NG-AB</t>
  </si>
  <si>
    <t>South East</t>
  </si>
  <si>
    <t>SE</t>
  </si>
  <si>
    <t>ABIA</t>
  </si>
  <si>
    <t>NG-AD</t>
  </si>
  <si>
    <t>North East</t>
  </si>
  <si>
    <t>NE</t>
  </si>
  <si>
    <t>ADAMAWA</t>
  </si>
  <si>
    <t>NG-AK</t>
  </si>
  <si>
    <t>South South</t>
  </si>
  <si>
    <t>SS</t>
  </si>
  <si>
    <t>AKWA IBOM</t>
  </si>
  <si>
    <t>NG-AN</t>
  </si>
  <si>
    <t>ANAMBRA</t>
  </si>
  <si>
    <t>NG-BA</t>
  </si>
  <si>
    <t>BAUCHI</t>
  </si>
  <si>
    <t>NG-BY</t>
  </si>
  <si>
    <t>BAYELSA</t>
  </si>
  <si>
    <t>NG-BE</t>
  </si>
  <si>
    <t>North Central</t>
  </si>
  <si>
    <t>NC</t>
  </si>
  <si>
    <t>BENUE</t>
  </si>
  <si>
    <t>NG-BO</t>
  </si>
  <si>
    <t>BORNO</t>
  </si>
  <si>
    <t>NG-CR</t>
  </si>
  <si>
    <t>CROSS RIVER</t>
  </si>
  <si>
    <t>NG-DE</t>
  </si>
  <si>
    <t>DELTA</t>
  </si>
  <si>
    <t>NG-EB</t>
  </si>
  <si>
    <t>EBONYI</t>
  </si>
  <si>
    <t>NG-ED</t>
  </si>
  <si>
    <t>EDO</t>
  </si>
  <si>
    <t>NG-EK</t>
  </si>
  <si>
    <t>South West</t>
  </si>
  <si>
    <t>SW</t>
  </si>
  <si>
    <t>EKITI</t>
  </si>
  <si>
    <t>NG-EN</t>
  </si>
  <si>
    <t>ENUGU</t>
  </si>
  <si>
    <t>NG-FC</t>
  </si>
  <si>
    <t>FCT ABUJA</t>
  </si>
  <si>
    <t>NG-GO</t>
  </si>
  <si>
    <t>GOMBE</t>
  </si>
  <si>
    <t>NG-IM</t>
  </si>
  <si>
    <t>IMO</t>
  </si>
  <si>
    <t>NG-JI</t>
  </si>
  <si>
    <t>North West</t>
  </si>
  <si>
    <t>NW</t>
  </si>
  <si>
    <t>JIGAWA</t>
  </si>
  <si>
    <t>NG-KD</t>
  </si>
  <si>
    <t>KADUNA</t>
  </si>
  <si>
    <t>NG-KN</t>
  </si>
  <si>
    <t>KANO</t>
  </si>
  <si>
    <t>NG-KT</t>
  </si>
  <si>
    <t>KATSINA</t>
  </si>
  <si>
    <t>NG-KE</t>
  </si>
  <si>
    <t>KEBBI</t>
  </si>
  <si>
    <t>NG-KO</t>
  </si>
  <si>
    <t>KOGI</t>
  </si>
  <si>
    <t>NG-KW</t>
  </si>
  <si>
    <t>KWARA</t>
  </si>
  <si>
    <t>NG-LA</t>
  </si>
  <si>
    <t>LAGOS</t>
  </si>
  <si>
    <t>NG-NA</t>
  </si>
  <si>
    <t>NASARAWA</t>
  </si>
  <si>
    <t>NG-NI</t>
  </si>
  <si>
    <t>NIGER</t>
  </si>
  <si>
    <t>NG-OG</t>
  </si>
  <si>
    <t>OGUN</t>
  </si>
  <si>
    <t>NG-ON</t>
  </si>
  <si>
    <t>ONDO</t>
  </si>
  <si>
    <t>NG-OS</t>
  </si>
  <si>
    <t>OSUN</t>
  </si>
  <si>
    <t>NG-OY</t>
  </si>
  <si>
    <t>OYO</t>
  </si>
  <si>
    <t>NG-PL</t>
  </si>
  <si>
    <t>PLATEAU</t>
  </si>
  <si>
    <t>NG-RI</t>
  </si>
  <si>
    <t>RIVERS</t>
  </si>
  <si>
    <t>NG-SO</t>
  </si>
  <si>
    <t>SOKOTO</t>
  </si>
  <si>
    <t>NG-TA</t>
  </si>
  <si>
    <t>TARABA</t>
  </si>
  <si>
    <t>NG-YO</t>
  </si>
  <si>
    <t>YOBE</t>
  </si>
  <si>
    <t>NG-ZA</t>
  </si>
  <si>
    <t>ZAMFARA</t>
  </si>
  <si>
    <t>Working Age Population</t>
  </si>
  <si>
    <t>Not in Labour Force</t>
  </si>
  <si>
    <t>Labour Force</t>
  </si>
  <si>
    <t>Work  40 Hrs+</t>
  </si>
  <si>
    <t>Work 20 -39 Hrs</t>
  </si>
  <si>
    <t>Work 1-19 Hrs</t>
  </si>
  <si>
    <t>Did nothing</t>
  </si>
  <si>
    <t>Unemployment Rate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</si>
  <si>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</si>
  <si>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</si>
  <si>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</si>
  <si>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</si>
  <si>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</si>
  <si>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</si>
  <si>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</si>
  <si>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</si>
  <si>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</si>
  <si>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</si>
  <si>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</si>
  <si>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</si>
  <si>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</si>
  <si>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</si>
  <si>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Gombe</t>
  </si>
  <si>
    <t>Imo</t>
  </si>
  <si>
    <t>Jigawa</t>
  </si>
  <si>
    <t>Kaduna</t>
  </si>
  <si>
    <t>Kano</t>
  </si>
  <si>
    <t>Katsina</t>
  </si>
  <si>
    <t>Kebbi</t>
  </si>
  <si>
    <t xml:space="preserve"> 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</si>
  <si>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</si>
  <si>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</si>
  <si>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</si>
  <si>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</si>
  <si>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</si>
  <si>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</si>
  <si>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</si>
  <si>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</si>
  <si>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</si>
  <si>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</si>
  <si>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</si>
  <si>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</si>
  <si>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</si>
  <si>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</si>
  <si>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</si>
  <si>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FCT Abuja</t>
  </si>
  <si>
    <t>Year</t>
  </si>
  <si>
    <t>Quarter</t>
  </si>
  <si>
    <t>Q4</t>
  </si>
  <si>
    <t>Q2</t>
  </si>
  <si>
    <t>2022 Column</t>
  </si>
  <si>
    <t>Exists in 2020?</t>
  </si>
  <si>
    <t>Action</t>
  </si>
  <si>
    <t>Completed?</t>
  </si>
  <si>
    <t>State Code</t>
  </si>
  <si>
    <t>Zone</t>
  </si>
  <si>
    <t>Underemployment Rate</t>
  </si>
  <si>
    <t>NEET</t>
  </si>
  <si>
    <t>LU1</t>
  </si>
  <si>
    <t>Yes</t>
  </si>
  <si>
    <t>Region Number</t>
  </si>
  <si>
    <t xml:space="preserve">Underemployment_Rate </t>
  </si>
  <si>
    <t>Date</t>
  </si>
  <si>
    <t>Quarter_Number</t>
  </si>
  <si>
    <t>YearQuarter</t>
  </si>
  <si>
    <t>SortOrder</t>
  </si>
  <si>
    <t>2020-Q4</t>
  </si>
  <si>
    <t>2022-Q2</t>
  </si>
  <si>
    <t>Population_Total</t>
  </si>
  <si>
    <t>Population_Male</t>
  </si>
  <si>
    <t>Population_Female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</si>
</sst>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10" fontId="0" fillId="0" borderId="0" xfId="0" applyNumberFormat="1"/>
    <xf numFmtId="0" fontId="2" fillId="0" borderId="0" xfId="0" applyFont="1"/>
    <xf numFmtId="3" fontId="2" fillId="0" borderId="0" xfId="0" applyNumberFormat="1" applyFont="1"/>
    <xf numFmtId="0" fontId="2" fillId="0" borderId="1" xfId="0" applyFont="1" applyBorder="1"/>
    <xf numFmtId="3" fontId="2" fillId="0" borderId="1" xfId="1" applyNumberFormat="1" applyFont="1" applyBorder="1"/>
    <xf numFmtId="3" fontId="2" fillId="0" borderId="0" xfId="1" applyNumberFormat="1" applyFont="1" applyBorder="1"/>
    <xf numFmtId="10" fontId="2" fillId="0" borderId="0" xfId="2" applyNumberFormat="1" applyFont="1"/>
    <xf numFmtId="1" fontId="0" fillId="0" borderId="0" xfId="0" applyNumberFormat="1"/>
    <xf numFmtId="1" fontId="2" fillId="0" borderId="0" xfId="1" applyNumberFormat="1" applyFont="1"/>
    <xf numFmtId="0" fontId="2" fillId="0" borderId="2" xfId="0" applyFont="1" applyBorder="1"/>
    <xf numFmtId="3" fontId="2" fillId="0" borderId="2" xfId="1" applyNumberFormat="1" applyFont="1" applyBorder="1"/>
    <xf numFmtId="1" fontId="2" fillId="0" borderId="0" xfId="1" applyNumberFormat="1" applyFont="1" applyBorder="1"/>
    <xf numFmtId="4" fontId="2" fillId="0" borderId="0" xfId="0" applyNumberFormat="1" applyFont="1"/>
    <xf numFmtId="2" fontId="0" fillId="0" borderId="0" xfId="0" applyNumberFormat="1"/>
    <xf numFmtId="14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79">
    <dxf>
      <numFmt numFmtId="19" formatCode="m/d/yyyy"/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" formatCode="0"/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none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Trebuchet MS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Aptos Display"/>
        <family val="2"/>
        <scheme val="major"/>
      </font>
    </dxf>
    <dxf>
      <numFmt numFmtId="1" formatCode="0"/>
    </dxf>
    <dxf>
      <numFmt numFmtId="1" formatCode="0"/>
    </dxf>
    <dxf>
      <numFmt numFmtId="3" formatCode="#,##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14" formatCode="0.00%"/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F7BD09E-1819-494D-A595-43E6D81E21E5}" autoFormatId="16" applyNumberFormats="0" applyBorderFormats="0" applyFontFormats="0" applyPatternFormats="0" applyAlignmentFormats="0" applyWidthHeightFormats="0">
  <queryTableRefresh nextId="34" unboundColumnsRight="1">
    <queryTableFields count="30">
      <queryTableField id="1" name="State_Code" tableColumnId="1"/>
      <queryTableField id="2" name="Geopolitical_Zone" tableColumnId="2"/>
      <queryTableField id="3" name="Zone_Abbr" tableColumnId="3"/>
      <queryTableField id="33" dataBound="0" tableColumnId="33"/>
      <queryTableField id="5" name="Working_Age_Pop" tableColumnId="5"/>
      <queryTableField id="6" name="Employed" tableColumnId="6"/>
      <queryTableField id="7" name="Not in Labour Force" tableColumnId="7"/>
      <queryTableField id="8" name="Labour_Force" tableColumnId="8"/>
      <queryTableField id="9" name="NEET_15_24" tableColumnId="9"/>
      <queryTableField id="10" name="EPR" tableColumnId="10"/>
      <queryTableField id="11" name="LFPR" tableColumnId="11"/>
      <queryTableField id="12" name="LU2" tableColumnId="12"/>
      <queryTableField id="13" name="LU3" tableColumnId="13"/>
      <queryTableField id="14" name="LU4" tableColumnId="14"/>
      <queryTableField id="15" name="Work  40 Hrs+" tableColumnId="15"/>
      <queryTableField id="16" name="Work 20 -39 Hrs" tableColumnId="16"/>
      <queryTableField id="17" name="Work 1-19 Hrs" tableColumnId="17"/>
      <queryTableField id="18" name="Did nothing" tableColumnId="18"/>
      <queryTableField id="19" name="Self_Employed" tableColumnId="19"/>
      <queryTableField id="20" name="Employees" tableColumnId="20"/>
      <queryTableField id="21" name="Informal_Employment" tableColumnId="21"/>
      <queryTableField id="22" name="Unemployed" tableColumnId="22"/>
      <queryTableField id="23" name="Unemployment_Rate" tableColumnId="23"/>
      <queryTableField id="24" name="Underemployment_Rate " tableColumnId="24"/>
      <queryTableField id="25" name="Year" tableColumnId="25"/>
      <queryTableField id="26" name="Quarter" tableColumnId="26"/>
      <queryTableField id="27" name="Population_Total_2022" tableColumnId="27"/>
      <queryTableField id="28" name="Population_Male_2022" tableColumnId="28"/>
      <queryTableField id="29" name="Population_Female_2022" tableColumnId="29"/>
      <queryTableField id="31" dataBound="0" tableColumnId="31"/>
    </queryTableFields>
    <queryTableDeletedFields count="2">
      <deletedField name="Underemployment_Rate"/>
      <deletedField name="St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3877E9-670D-4B7E-9CA5-C782546B096E}" name="Labour_Master" displayName="Labour_Master" ref="A1:AD75" tableType="queryTable" totalsRowShown="0">
  <autoFilter ref="A1:AD75" xr:uid="{3D3877E9-670D-4B7E-9CA5-C782546B096E}"/>
  <sortState xmlns:xlrd2="http://schemas.microsoft.com/office/spreadsheetml/2017/richdata2" ref="A2:AD75">
    <sortCondition ref="Y2:Y75"/>
  </sortState>
  <tableColumns count="30">
    <tableColumn id="1" xr3:uid="{FEA6A893-A09B-4C42-A28C-78E06E074F5F}" uniqueName="1" name="State_Code" queryTableFieldId="1" dataDxfId="78"/>
    <tableColumn id="2" xr3:uid="{296E4005-7BF7-417B-A1B7-0A4C85BFA063}" uniqueName="2" name="Geopolitical_Zone" queryTableFieldId="2" dataDxfId="77"/>
    <tableColumn id="3" xr3:uid="{63FAF76C-3825-4D8E-A280-82CEFE28BD5E}" uniqueName="3" name="Zone_Abbr" queryTableFieldId="3" dataDxfId="76"/>
    <tableColumn id="33" xr3:uid="{E217DAC8-EF49-4355-AC4B-B2FE99DA24E3}" uniqueName="33" name="State" queryTableFieldId="33" dataDxfId="75"/>
    <tableColumn id="5" xr3:uid="{FFADF596-FB8E-444D-9439-C179B3FB0846}" uniqueName="5" name="Working_Age_Pop" queryTableFieldId="5"/>
    <tableColumn id="6" xr3:uid="{0DE69BA4-8E55-4C68-8F70-58C2FC8F05B9}" uniqueName="6" name="Employed" queryTableFieldId="6"/>
    <tableColumn id="7" xr3:uid="{42B5B38D-5869-4695-A839-4A5C37354972}" uniqueName="7" name="Not in Labour Force" queryTableFieldId="7"/>
    <tableColumn id="8" xr3:uid="{8EF5C1EB-C4A0-4268-923C-DF45EBF0FB73}" uniqueName="8" name="Labour_Force" queryTableFieldId="8"/>
    <tableColumn id="9" xr3:uid="{91236A90-AE16-47BE-9626-631A745E05F5}" uniqueName="9" name="NEET_15_24" queryTableFieldId="9"/>
    <tableColumn id="10" xr3:uid="{BB474D97-4202-466F-9927-733DD469600C}" uniqueName="10" name="EPR" queryTableFieldId="10"/>
    <tableColumn id="11" xr3:uid="{377DC8BF-4354-46FB-873A-7DCD5F13FE02}" uniqueName="11" name="LFPR" queryTableFieldId="11"/>
    <tableColumn id="12" xr3:uid="{3C3082CE-5EAC-4BD9-A020-9FA698FD2694}" uniqueName="12" name="LU2" queryTableFieldId="12"/>
    <tableColumn id="13" xr3:uid="{DA488B62-945C-4063-B805-17E815E293CB}" uniqueName="13" name="LU3" queryTableFieldId="13"/>
    <tableColumn id="14" xr3:uid="{B9DB18A1-8EE0-4749-A5BE-695588BA12BD}" uniqueName="14" name="LU4" queryTableFieldId="14"/>
    <tableColumn id="15" xr3:uid="{02657A01-6BAE-48D4-850E-54D685CEB4C9}" uniqueName="15" name="Work  40 Hrs+" queryTableFieldId="15"/>
    <tableColumn id="16" xr3:uid="{20D1811E-D489-4FF5-B42C-68F766423D77}" uniqueName="16" name="Work 20 -39 Hrs" queryTableFieldId="16"/>
    <tableColumn id="17" xr3:uid="{CF557496-865F-4C44-A1D2-38329AE1E55D}" uniqueName="17" name="Work 1-19 Hrs" queryTableFieldId="17"/>
    <tableColumn id="18" xr3:uid="{876570AC-B620-4EF0-94CD-3678F386C190}" uniqueName="18" name="Did nothing" queryTableFieldId="18"/>
    <tableColumn id="19" xr3:uid="{DB1AF8CB-F103-4692-8527-BC4552209E97}" uniqueName="19" name="Self_Employed" queryTableFieldId="19"/>
    <tableColumn id="20" xr3:uid="{DA19FC2B-4E3B-4F79-AF7C-F87CA806CCDE}" uniqueName="20" name="Employees" queryTableFieldId="20"/>
    <tableColumn id="21" xr3:uid="{5AD844BE-0D65-432A-B888-E5EDE2865BC0}" uniqueName="21" name="Informal_Employment" queryTableFieldId="21"/>
    <tableColumn id="22" xr3:uid="{269F03E5-2269-4CA5-ABDC-468FEC9D9B4F}" uniqueName="22" name="Unemployed" queryTableFieldId="22"/>
    <tableColumn id="23" xr3:uid="{D193C1C6-3C70-428A-8932-D939CC607D03}" uniqueName="23" name="Unemployment_Rate" queryTableFieldId="23"/>
    <tableColumn id="24" xr3:uid="{38978FE5-BE14-4886-957D-CB9E96F1A6D9}" uniqueName="24" name="Underemployment_Rate " queryTableFieldId="24"/>
    <tableColumn id="25" xr3:uid="{53BB7286-E8A1-40C1-986D-C7A6D4FA716D}" uniqueName="25" name="Year" queryTableFieldId="25"/>
    <tableColumn id="26" xr3:uid="{11772F66-9BE0-4BA4-9C60-3CC8EA188689}" uniqueName="26" name="Quarter" queryTableFieldId="26" dataDxfId="74"/>
    <tableColumn id="27" xr3:uid="{A78058FF-79FA-4FBF-ACE6-3E7093712265}" uniqueName="27" name="Population_Total" queryTableFieldId="27"/>
    <tableColumn id="28" xr3:uid="{5FB01DED-2E9B-4D54-B0D3-4355A7BA5060}" uniqueName="28" name="Population_Male" queryTableFieldId="28"/>
    <tableColumn id="29" xr3:uid="{E56EA07C-A9BB-4121-922F-3D69241A8EF4}" uniqueName="29" name="Population_Female" queryTableFieldId="29"/>
    <tableColumn id="31" xr3:uid="{38373769-C624-4EDF-9B27-247480FB542D}" uniqueName="31" name="YearQuarter" queryTableFieldId="31" dataDxfId="73">
      <calculatedColumnFormula>Labour_Master[[#This Row],[Year]] &amp; "-" &amp; Labour_Master[[#This Row],[Quarter]]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0F7202-72F4-4022-80F0-624B5956CCB5}" name="tblLabour2022" displayName="tblLabour2022" ref="A1:X38" totalsRowShown="0">
  <autoFilter ref="A1:X38" xr:uid="{E50F7202-72F4-4022-80F0-624B5956CCB5}"/>
  <tableColumns count="24">
    <tableColumn id="1" xr3:uid="{45885657-EBF2-4F80-ADF5-4C222541D31C}" name="State_Code"/>
    <tableColumn id="2" xr3:uid="{48F3DB91-A078-45D8-A668-4816CCF4D57C}" name="Geopolitical_Zone"/>
    <tableColumn id="3" xr3:uid="{E253A359-B0CB-4FB9-B3FC-18E7998F64C3}" name="Zone_Abbr"/>
    <tableColumn id="4" xr3:uid="{1CB3BDC1-3DE4-4791-B2ED-A7B6975CCC9F}" name="State"/>
    <tableColumn id="5" xr3:uid="{E882F910-E378-4BFB-8BBE-B12338848343}" name="Population_Total"/>
    <tableColumn id="6" xr3:uid="{329A4D1E-8338-4CE0-A31D-BCAE4B026B0B}" name="Population_Male"/>
    <tableColumn id="7" xr3:uid="{2FA4267F-66CF-4682-9CF9-FD14031CDAEE}" name="Population_Female"/>
    <tableColumn id="8" xr3:uid="{94EF9F97-F977-4531-AF9F-C4D946FD355E}" name="Labour_Force" dataDxfId="72"/>
    <tableColumn id="9" xr3:uid="{EB29D237-BD51-4A38-9E70-BFEF3E9B4976}" name="Employed" dataDxfId="71"/>
    <tableColumn id="10" xr3:uid="{E31A5B93-AEBE-4A1C-80AB-71A6899D14DA}" name="Unemployed" dataDxfId="70"/>
    <tableColumn id="11" xr3:uid="{7347A207-63B6-4E5F-AB2A-38E12CE5AD44}" name="Unemployment_Rate" dataDxfId="69">
      <calculatedColumnFormula>tblLabour2022[[#This Row],[Unemployed]]/tblLabour2022[[#This Row],[Labour_Force]]</calculatedColumnFormula>
    </tableColumn>
    <tableColumn id="12" xr3:uid="{73B1893E-2564-4C6C-BC47-B849B380B4F5}" name="Underemployment_Rate" dataDxfId="68"/>
    <tableColumn id="13" xr3:uid="{348DD149-A332-4C16-9BE1-96740A765203}" name="LFPR" dataDxfId="67"/>
    <tableColumn id="14" xr3:uid="{27AE6E50-3756-408A-9524-F02D4BEA2272}" name="EPR" dataDxfId="66"/>
    <tableColumn id="15" xr3:uid="{E6B64A9A-6509-4265-BF57-78C7461A91A0}" name="Self_Employed" dataDxfId="65"/>
    <tableColumn id="16" xr3:uid="{319B21A7-BCDB-4176-9D0B-B7E4D6DFD7E2}" name="Employees" dataDxfId="64"/>
    <tableColumn id="17" xr3:uid="{723C440D-E792-4051-BB6B-17F65E28B4F8}" name="Informal_Employment" dataDxfId="63"/>
    <tableColumn id="18" xr3:uid="{CB32B5EF-E4B2-4701-9F66-B2AD371C73DE}" name="NEET_15_24" dataDxfId="62"/>
    <tableColumn id="19" xr3:uid="{5BFF24D8-0E23-4D35-8FB7-54E89FFE9BCD}" name="LU2" dataDxfId="61"/>
    <tableColumn id="20" xr3:uid="{9911EF26-EE56-469B-A34D-7EC16CC8F3E2}" name="LU3" dataDxfId="60"/>
    <tableColumn id="21" xr3:uid="{F69CBA18-974A-4772-AB34-1BFFEBB3878E}" name="LU4" dataDxfId="59"/>
    <tableColumn id="22" xr3:uid="{0D329795-7FA7-42F7-802B-3C0B4C9DE489}" name="Working_Age_Pop" dataDxfId="58"/>
    <tableColumn id="24" xr3:uid="{EAB36574-A9EA-4FD8-88CD-08DA506A6EE1}" name="Year" dataDxfId="57"/>
    <tableColumn id="25" xr3:uid="{2C9A74A5-6C5F-4D0C-A8B0-5CFF8C68D3E8}" name="Quarter" dataDxfId="5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0CBE04-BB47-4C27-A2C2-2475AD64ADFD}" name="tblLabour2020" displayName="tblLabour2020" ref="A1:Z38" totalsRowShown="0" headerRowDxfId="55" dataDxfId="54" totalsRowDxfId="53">
  <autoFilter ref="A1:Z38" xr:uid="{600CBE04-BB47-4C27-A2C2-2475AD64ADFD}"/>
  <tableColumns count="26">
    <tableColumn id="17" xr3:uid="{09DFDB5D-E3AE-4A87-8861-1A298216FBAA}" name="State_Code" dataDxfId="52" totalsRowDxfId="51"/>
    <tableColumn id="16" xr3:uid="{A6467CC2-A8AB-4F3A-AFCD-8D4FDD6A8E46}" name="Geopolitical_Zone" dataDxfId="50" totalsRowDxfId="49"/>
    <tableColumn id="15" xr3:uid="{9FD8BFAC-2E09-4BD1-99A3-7B2A2F8C2D0D}" name="Zone_Abbr" dataDxfId="48" totalsRowDxfId="47"/>
    <tableColumn id="14" xr3:uid="{09C30739-B78F-4301-B76A-A4E07468BAFC}" name="State" dataDxfId="46" totalsRowDxfId="45"/>
    <tableColumn id="2" xr3:uid="{38162E36-9AC8-46CE-A3A8-74BE66E8F063}" name="Working_Age_Pop" dataDxfId="44" totalsRowDxfId="43" dataCellStyle="Comma"/>
    <tableColumn id="23" xr3:uid="{6B332649-5E59-400D-9818-370E0B764EE3}" name="Employed" dataDxfId="42" totalsRowDxfId="41" dataCellStyle="Comma">
      <calculatedColumnFormula>tblLabour2020[[#This Row],[Labour_Force]]-tblLabour2020[[#This Row],[Unemployed]]</calculatedColumnFormula>
    </tableColumn>
    <tableColumn id="11" xr3:uid="{BE630BE3-8AE5-439D-A8F8-42518DBF07AE}" name="Not in Labour Force" dataDxfId="40" totalsRowDxfId="39" dataCellStyle="Comma">
      <calculatedColumnFormula>tblLabour2020[[#This Row],[Working_Age_Pop]]-tblLabour2020[[#This Row],[Labour_Force]]</calculatedColumnFormula>
    </tableColumn>
    <tableColumn id="3" xr3:uid="{D13B5516-27A9-4B53-B97B-A5912083B236}" name="Labour_Force" dataDxfId="38" totalsRowDxfId="37"/>
    <tableColumn id="19" xr3:uid="{D84312A9-FB5B-4D36-BC98-BAE5E5C3FE78}" name="NEET_15_24" dataDxfId="36" totalsRowDxfId="35"/>
    <tableColumn id="18" xr3:uid="{4AD483D7-D441-46F6-BCA4-5919F9C4AD8A}" name="EPR" dataDxfId="34" totalsRowDxfId="33">
      <calculatedColumnFormula>tblLabour2020[[#This Row],[Employed]]/tblLabour2020[[#This Row],[Working_Age_Pop]]</calculatedColumnFormula>
    </tableColumn>
    <tableColumn id="1" xr3:uid="{F3588F0D-5154-4D72-B4DA-F65FEF0E7117}" name="LFPR" dataDxfId="32" totalsRowDxfId="31">
      <calculatedColumnFormula>tblLabour2020[[#This Row],[Labour_Force]]/tblLabour2020[[#This Row],[Working_Age_Pop]]</calculatedColumnFormula>
    </tableColumn>
    <tableColumn id="22" xr3:uid="{B001244A-C25B-4E82-874F-82FDACA0D5F0}" name="LU2" dataDxfId="30" totalsRowDxfId="29"/>
    <tableColumn id="21" xr3:uid="{66009827-B82D-470C-9074-BEFAA84E6D04}" name="LU3" dataDxfId="28" totalsRowDxfId="27"/>
    <tableColumn id="20" xr3:uid="{715719E5-7274-4FBB-AC1B-2BD758FDD8A8}" name="LU4" dataDxfId="26" totalsRowDxfId="25"/>
    <tableColumn id="4" xr3:uid="{CE4DADB1-2E75-4FA5-AC41-D90EB6AA0E16}" name="Work  40 Hrs+" dataDxfId="24" totalsRowDxfId="23"/>
    <tableColumn id="5" xr3:uid="{BDF9387B-7B72-4DB8-A4E4-C2937D38CD00}" name="Work 20 -39 Hrs" dataDxfId="22" totalsRowDxfId="21"/>
    <tableColumn id="6" xr3:uid="{679E60B5-10FE-4D00-9179-3DAC6707C0D6}" name="Work 1-19 Hrs" dataDxfId="20" totalsRowDxfId="19"/>
    <tableColumn id="7" xr3:uid="{46B4C8DA-76D4-4801-A6CE-019A1E32751C}" name="Did nothing" dataDxfId="18" totalsRowDxfId="17"/>
    <tableColumn id="26" xr3:uid="{2D442A29-B6DD-4CC6-A036-8C10B61FD4CD}" name="Self_Employed" dataDxfId="16" totalsRowDxfId="15"/>
    <tableColumn id="27" xr3:uid="{8CD6F603-E8E0-487F-8157-6303F03EC79E}" name="Employees" dataDxfId="14" totalsRowDxfId="13"/>
    <tableColumn id="25" xr3:uid="{70CF8559-B883-4C15-8B58-618C0360AFE8}" name="Informal_Employment" dataDxfId="12" totalsRowDxfId="11"/>
    <tableColumn id="8" xr3:uid="{3041637B-98D9-489E-B9B0-A6E41B3F1053}" name="Unemployed" dataDxfId="10" totalsRowDxfId="9">
      <calculatedColumnFormula>tblLabour2020[[#This Row],[Work 1-19 Hrs]]+tblLabour2020[[#This Row],[Did nothing]]</calculatedColumnFormula>
    </tableColumn>
    <tableColumn id="9" xr3:uid="{7A048791-B3E6-4920-892D-88451157A01E}" name="Unemployment_Rate" dataDxfId="8" totalsRowDxfId="7">
      <calculatedColumnFormula>tblLabour2020[[#This Row],[Unemployed]]/tblLabour2020[[#This Row],[Labour_Force]]</calculatedColumnFormula>
    </tableColumn>
    <tableColumn id="10" xr3:uid="{9A38ACCB-3B76-419C-84B4-4CFBC05EB311}" name="Underemployment_Rate " dataDxfId="6" totalsRowDxfId="5">
      <calculatedColumnFormula>tblLabour2020[[#This Row],[Work 20 -39 Hrs]]/tblLabour2020[[#This Row],[Labour_Force]]</calculatedColumnFormula>
    </tableColumn>
    <tableColumn id="12" xr3:uid="{3FADFC70-3EC8-4A58-B783-95C346B03561}" name="Year" dataDxfId="4" totalsRowDxfId="3" dataCellStyle="Comma"/>
    <tableColumn id="13" xr3:uid="{B486CA00-BE34-4ED8-BB8A-5A979511B21F}" name="Quarter" dataDxfId="2" totalsRowDxf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0EF60C-BFC0-43B2-A3D7-E0A3D5CFEEFF}" name="Table3" displayName="Table3" ref="A1:F3" totalsRowShown="0">
  <autoFilter ref="A1:F3" xr:uid="{420EF60C-BFC0-43B2-A3D7-E0A3D5CFEEFF}"/>
  <tableColumns count="6">
    <tableColumn id="1" xr3:uid="{379F78D2-8BE9-4591-874A-5B3E0607DDBD}" name="Date" dataDxfId="0"/>
    <tableColumn id="2" xr3:uid="{F8A0C883-561B-4F1D-B6FE-C0A0D874F773}" name="Year"/>
    <tableColumn id="3" xr3:uid="{B74FA739-766C-4C1E-87E2-CB86193F754D}" name="Quarter"/>
    <tableColumn id="4" xr3:uid="{28D0964E-AFB3-4EF6-A509-9C628BA8AF01}" name="Quarter_Number"/>
    <tableColumn id="5" xr3:uid="{416C3AD1-15F6-4524-90EB-AE3D9789879F}" name="YearQuarter"/>
    <tableColumn id="6" xr3:uid="{D7DE506A-2497-4B8F-A0AB-CB593A4CCE64}" name="Sort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C14BB-6F5A-435A-AFB3-A9C46C6D51E6}">
  <dimension ref="A1:AD75"/>
  <sheetViews>
    <sheetView workbookViewId="0">
      <selection activeCell="F8" sqref="F8"/>
    </sheetView>
  </sheetViews>
  <sheetFormatPr defaultRowHeight="14.5" x14ac:dyDescent="0.35"/>
  <cols>
    <col min="1" max="1" width="12.6328125" bestFit="1" customWidth="1"/>
    <col min="2" max="2" width="18.26953125" bestFit="1" customWidth="1"/>
    <col min="3" max="3" width="11.90625" bestFit="1" customWidth="1"/>
    <col min="4" max="4" width="11.90625" customWidth="1"/>
    <col min="5" max="5" width="17.81640625" bestFit="1" customWidth="1"/>
    <col min="6" max="6" width="13.90625" customWidth="1"/>
    <col min="7" max="7" width="19.26953125" bestFit="1" customWidth="1"/>
    <col min="8" max="8" width="18.1796875" customWidth="1"/>
    <col min="9" max="9" width="12.81640625" customWidth="1"/>
    <col min="10" max="10" width="14.6328125" customWidth="1"/>
    <col min="11" max="11" width="11.81640625" bestFit="1" customWidth="1"/>
    <col min="12" max="14" width="6.26953125" bestFit="1" customWidth="1"/>
    <col min="15" max="15" width="14.26953125" bestFit="1" customWidth="1"/>
    <col min="16" max="16" width="16" bestFit="1" customWidth="1"/>
    <col min="17" max="17" width="14.54296875" bestFit="1" customWidth="1"/>
    <col min="18" max="18" width="12.7265625" bestFit="1" customWidth="1"/>
    <col min="19" max="19" width="15.54296875" bestFit="1" customWidth="1"/>
    <col min="20" max="20" width="12.1796875" bestFit="1" customWidth="1"/>
    <col min="21" max="21" width="21.7265625" bestFit="1" customWidth="1"/>
    <col min="22" max="22" width="16.26953125" customWidth="1"/>
    <col min="23" max="23" width="22" customWidth="1"/>
    <col min="24" max="24" width="24" bestFit="1" customWidth="1"/>
    <col min="25" max="25" width="6.81640625" bestFit="1" customWidth="1"/>
    <col min="26" max="26" width="9.36328125" bestFit="1" customWidth="1"/>
    <col min="27" max="27" width="22.08984375" bestFit="1" customWidth="1"/>
    <col min="28" max="28" width="22" bestFit="1" customWidth="1"/>
    <col min="29" max="29" width="24.26953125" bestFit="1" customWidth="1"/>
    <col min="30" max="30" width="24.26953125" customWidth="1"/>
  </cols>
  <sheetData>
    <row r="1" spans="1:30" x14ac:dyDescent="0.3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5</v>
      </c>
      <c r="G1" t="s">
        <v>106</v>
      </c>
      <c r="H1" t="s">
        <v>4</v>
      </c>
      <c r="I1" t="s">
        <v>14</v>
      </c>
      <c r="J1" t="s">
        <v>10</v>
      </c>
      <c r="K1" t="s">
        <v>9</v>
      </c>
      <c r="L1" t="s">
        <v>15</v>
      </c>
      <c r="M1" t="s">
        <v>16</v>
      </c>
      <c r="N1" t="s">
        <v>17</v>
      </c>
      <c r="O1" t="s">
        <v>108</v>
      </c>
      <c r="P1" t="s">
        <v>109</v>
      </c>
      <c r="Q1" t="s">
        <v>110</v>
      </c>
      <c r="R1" t="s">
        <v>111</v>
      </c>
      <c r="S1" t="s">
        <v>11</v>
      </c>
      <c r="T1" t="s">
        <v>12</v>
      </c>
      <c r="U1" t="s">
        <v>13</v>
      </c>
      <c r="V1" t="s">
        <v>6</v>
      </c>
      <c r="W1" t="s">
        <v>7</v>
      </c>
      <c r="X1" t="s">
        <v>166</v>
      </c>
      <c r="Y1" t="s">
        <v>151</v>
      </c>
      <c r="Z1" t="s">
        <v>152</v>
      </c>
      <c r="AA1" t="s">
        <v>173</v>
      </c>
      <c r="AB1" t="s">
        <v>174</v>
      </c>
      <c r="AC1" t="s">
        <v>175</v>
      </c>
      <c r="AD1" t="s">
        <v>169</v>
      </c>
    </row>
    <row r="2" spans="1:30" x14ac:dyDescent="0.35">
      <c r="A2" t="s">
        <v>19</v>
      </c>
      <c r="B2" t="s">
        <v>20</v>
      </c>
      <c r="C2" t="s">
        <v>21</v>
      </c>
      <c r="D2" t="s">
        <v>22</v>
      </c>
      <c r="E2">
        <v>2406005</v>
      </c>
      <c r="F2">
        <v>816540</v>
      </c>
      <c r="G2">
        <v>770538</v>
      </c>
      <c r="H2">
        <v>1635466</v>
      </c>
      <c r="J2">
        <v>0.33937610346314001</v>
      </c>
      <c r="K2">
        <v>0.67974368462372503</v>
      </c>
      <c r="O2">
        <v>557064</v>
      </c>
      <c r="P2">
        <v>259476.6</v>
      </c>
      <c r="Q2">
        <v>455056.6</v>
      </c>
      <c r="R2">
        <v>363869</v>
      </c>
      <c r="V2">
        <v>818926</v>
      </c>
      <c r="W2">
        <v>0.50072930261793802</v>
      </c>
      <c r="X2">
        <v>0.158656016494376</v>
      </c>
      <c r="Y2">
        <v>2020</v>
      </c>
      <c r="Z2" t="s">
        <v>153</v>
      </c>
      <c r="AD2" t="str">
        <f>Labour_Master[[#This Row],[Year]] &amp; "-" &amp; Labour_Master[[#This Row],[Quarter]]</f>
        <v>2020-Q4</v>
      </c>
    </row>
    <row r="3" spans="1:30" x14ac:dyDescent="0.35">
      <c r="A3" t="s">
        <v>19</v>
      </c>
      <c r="B3" t="s">
        <v>20</v>
      </c>
      <c r="C3" t="s">
        <v>21</v>
      </c>
      <c r="D3" t="s">
        <v>22</v>
      </c>
      <c r="E3">
        <v>2487286</v>
      </c>
      <c r="F3">
        <v>1555922</v>
      </c>
      <c r="H3">
        <v>1914450</v>
      </c>
      <c r="I3">
        <v>0.38100000000000001</v>
      </c>
      <c r="J3">
        <v>0.6255500975762337</v>
      </c>
      <c r="K3">
        <v>0.76969435762513838</v>
      </c>
      <c r="L3">
        <v>0.22700000000000001</v>
      </c>
      <c r="M3">
        <v>0.19</v>
      </c>
      <c r="N3">
        <v>0.23</v>
      </c>
      <c r="S3">
        <v>0.80400000000000005</v>
      </c>
      <c r="T3">
        <v>0.19600000000000001</v>
      </c>
      <c r="U3">
        <v>1516059</v>
      </c>
      <c r="V3">
        <v>358528</v>
      </c>
      <c r="W3">
        <v>0.18727467418840921</v>
      </c>
      <c r="Y3">
        <v>2022</v>
      </c>
      <c r="Z3" t="s">
        <v>154</v>
      </c>
      <c r="AA3">
        <v>4143093</v>
      </c>
      <c r="AB3">
        <v>2048425</v>
      </c>
      <c r="AC3">
        <v>2094668</v>
      </c>
      <c r="AD3" t="str">
        <f>Labour_Master[[#This Row],[Year]] &amp; "-" &amp; Labour_Master[[#This Row],[Quarter]]</f>
        <v>2022-Q2</v>
      </c>
    </row>
    <row r="4" spans="1:30" x14ac:dyDescent="0.35">
      <c r="A4" t="s">
        <v>23</v>
      </c>
      <c r="B4" t="s">
        <v>24</v>
      </c>
      <c r="C4" t="s">
        <v>25</v>
      </c>
      <c r="D4" t="s">
        <v>26</v>
      </c>
      <c r="E4">
        <v>2895303</v>
      </c>
      <c r="F4">
        <v>739377</v>
      </c>
      <c r="G4">
        <v>1256290</v>
      </c>
      <c r="H4">
        <v>1639013</v>
      </c>
      <c r="J4">
        <v>0.25537107897661004</v>
      </c>
      <c r="K4">
        <v>0.56609374328653994</v>
      </c>
      <c r="O4">
        <v>334964.09999999998</v>
      </c>
      <c r="P4">
        <v>404412.6</v>
      </c>
      <c r="Q4">
        <v>175388.2</v>
      </c>
      <c r="R4">
        <v>724248</v>
      </c>
      <c r="V4">
        <v>899636</v>
      </c>
      <c r="W4">
        <v>0.54888906297742146</v>
      </c>
      <c r="X4">
        <v>0.24674157517256726</v>
      </c>
      <c r="Y4">
        <v>2020</v>
      </c>
      <c r="Z4" t="s">
        <v>153</v>
      </c>
      <c r="AD4" t="str">
        <f>Labour_Master[[#This Row],[Year]] &amp; "-" &amp; Labour_Master[[#This Row],[Quarter]]</f>
        <v>2020-Q4</v>
      </c>
    </row>
    <row r="5" spans="1:30" x14ac:dyDescent="0.35">
      <c r="A5" t="s">
        <v>23</v>
      </c>
      <c r="B5" t="s">
        <v>24</v>
      </c>
      <c r="C5" t="s">
        <v>25</v>
      </c>
      <c r="D5" t="s">
        <v>26</v>
      </c>
      <c r="E5">
        <v>2596274</v>
      </c>
      <c r="F5">
        <v>1601931</v>
      </c>
      <c r="H5">
        <v>1654854</v>
      </c>
      <c r="I5">
        <v>0.19700000000000001</v>
      </c>
      <c r="J5">
        <v>0.61701153268106523</v>
      </c>
      <c r="K5">
        <v>0.63739574482508399</v>
      </c>
      <c r="L5">
        <v>0.11700000000000001</v>
      </c>
      <c r="M5">
        <v>6.7000000000000004E-2</v>
      </c>
      <c r="N5">
        <v>0.14899999999999999</v>
      </c>
      <c r="S5">
        <v>0.92600000000000005</v>
      </c>
      <c r="T5">
        <v>7.3999999999999996E-2</v>
      </c>
      <c r="U5">
        <v>1522609</v>
      </c>
      <c r="V5">
        <v>52923</v>
      </c>
      <c r="W5">
        <v>3.1980464741904725E-2</v>
      </c>
      <c r="Y5">
        <v>2022</v>
      </c>
      <c r="Z5" t="s">
        <v>154</v>
      </c>
      <c r="AA5">
        <v>4902055</v>
      </c>
      <c r="AB5">
        <v>2455347</v>
      </c>
      <c r="AC5">
        <v>2446708</v>
      </c>
      <c r="AD5" t="str">
        <f>Labour_Master[[#This Row],[Year]] &amp; "-" &amp; Labour_Master[[#This Row],[Quarter]]</f>
        <v>2022-Q2</v>
      </c>
    </row>
    <row r="6" spans="1:30" x14ac:dyDescent="0.35">
      <c r="A6" t="s">
        <v>27</v>
      </c>
      <c r="B6" t="s">
        <v>28</v>
      </c>
      <c r="C6" t="s">
        <v>29</v>
      </c>
      <c r="D6" t="s">
        <v>30</v>
      </c>
      <c r="E6">
        <v>3682086</v>
      </c>
      <c r="F6">
        <v>1212917</v>
      </c>
      <c r="G6">
        <v>1206564</v>
      </c>
      <c r="H6">
        <v>2475522</v>
      </c>
      <c r="J6">
        <v>0.32941017050090171</v>
      </c>
      <c r="K6">
        <v>0.67231499556732255</v>
      </c>
      <c r="O6">
        <v>799644.4</v>
      </c>
      <c r="P6">
        <v>413272.16</v>
      </c>
      <c r="Q6">
        <v>530593.9</v>
      </c>
      <c r="R6">
        <v>732011</v>
      </c>
      <c r="V6">
        <v>1262605</v>
      </c>
      <c r="W6">
        <v>0.51003596130868079</v>
      </c>
      <c r="X6">
        <v>0.16694346084706102</v>
      </c>
      <c r="Y6">
        <v>2020</v>
      </c>
      <c r="Z6" t="s">
        <v>153</v>
      </c>
      <c r="AD6" t="str">
        <f>Labour_Master[[#This Row],[Year]] &amp; "-" &amp; Labour_Master[[#This Row],[Quarter]]</f>
        <v>2020-Q4</v>
      </c>
    </row>
    <row r="7" spans="1:30" x14ac:dyDescent="0.35">
      <c r="A7" t="s">
        <v>27</v>
      </c>
      <c r="B7" t="s">
        <v>28</v>
      </c>
      <c r="C7" t="s">
        <v>29</v>
      </c>
      <c r="D7" t="s">
        <v>30</v>
      </c>
      <c r="E7">
        <v>2886919</v>
      </c>
      <c r="F7">
        <v>2142818</v>
      </c>
      <c r="H7">
        <v>2256916</v>
      </c>
      <c r="I7">
        <v>0.124</v>
      </c>
      <c r="J7">
        <v>0.74225082172378232</v>
      </c>
      <c r="K7">
        <v>0.78177323298644674</v>
      </c>
      <c r="L7">
        <v>0.151</v>
      </c>
      <c r="M7">
        <v>6.4000000000000001E-2</v>
      </c>
      <c r="N7">
        <v>0.16400000000000001</v>
      </c>
      <c r="S7">
        <v>0.79900000000000004</v>
      </c>
      <c r="T7">
        <v>0.20100000000000001</v>
      </c>
      <c r="U7">
        <v>1926520</v>
      </c>
      <c r="V7">
        <v>114098</v>
      </c>
      <c r="W7">
        <v>5.0554827915615802E-2</v>
      </c>
      <c r="Y7">
        <v>2022</v>
      </c>
      <c r="Z7" t="s">
        <v>154</v>
      </c>
      <c r="AA7">
        <v>4979418</v>
      </c>
      <c r="AB7">
        <v>2491436</v>
      </c>
      <c r="AC7">
        <v>2487982</v>
      </c>
      <c r="AD7" t="str">
        <f>Labour_Master[[#This Row],[Year]] &amp; "-" &amp; Labour_Master[[#This Row],[Quarter]]</f>
        <v>2022-Q2</v>
      </c>
    </row>
    <row r="8" spans="1:30" x14ac:dyDescent="0.35">
      <c r="A8" t="s">
        <v>31</v>
      </c>
      <c r="B8" t="s">
        <v>20</v>
      </c>
      <c r="C8" t="s">
        <v>21</v>
      </c>
      <c r="D8" t="s">
        <v>32</v>
      </c>
      <c r="E8">
        <v>3570605</v>
      </c>
      <c r="F8">
        <v>1199737</v>
      </c>
      <c r="G8">
        <v>1419809</v>
      </c>
      <c r="H8">
        <v>2150796</v>
      </c>
      <c r="J8">
        <v>0.33600377325390096</v>
      </c>
      <c r="K8">
        <v>0.60236172288103984</v>
      </c>
      <c r="O8">
        <v>845310.49</v>
      </c>
      <c r="P8">
        <v>354426.3</v>
      </c>
      <c r="Q8">
        <v>446142.6</v>
      </c>
      <c r="R8">
        <v>504916</v>
      </c>
      <c r="V8">
        <v>951059</v>
      </c>
      <c r="W8">
        <v>0.44218936813111837</v>
      </c>
      <c r="X8">
        <v>0.16478843947954336</v>
      </c>
      <c r="Y8">
        <v>2020</v>
      </c>
      <c r="Z8" t="s">
        <v>153</v>
      </c>
      <c r="AD8" t="str">
        <f>Labour_Master[[#This Row],[Year]] &amp; "-" &amp; Labour_Master[[#This Row],[Quarter]]</f>
        <v>2020-Q4</v>
      </c>
    </row>
    <row r="9" spans="1:30" x14ac:dyDescent="0.35">
      <c r="A9" t="s">
        <v>31</v>
      </c>
      <c r="B9" t="s">
        <v>20</v>
      </c>
      <c r="C9" t="s">
        <v>21</v>
      </c>
      <c r="D9" t="s">
        <v>32</v>
      </c>
      <c r="E9">
        <v>3446987</v>
      </c>
      <c r="F9">
        <v>2502159</v>
      </c>
      <c r="H9">
        <v>2627088</v>
      </c>
      <c r="I9">
        <v>0.17899999999999999</v>
      </c>
      <c r="J9">
        <v>0.72589742868191842</v>
      </c>
      <c r="K9">
        <v>0.76214038521178062</v>
      </c>
      <c r="L9">
        <v>6.9000000000000006E-2</v>
      </c>
      <c r="M9">
        <v>5.5E-2</v>
      </c>
      <c r="N9">
        <v>7.5999999999999998E-2</v>
      </c>
      <c r="S9">
        <v>0.78900000000000003</v>
      </c>
      <c r="T9">
        <v>0.21099999999999999</v>
      </c>
      <c r="U9">
        <v>2330167</v>
      </c>
      <c r="V9">
        <v>124929</v>
      </c>
      <c r="W9">
        <v>4.7554174051268931E-2</v>
      </c>
      <c r="Y9">
        <v>2022</v>
      </c>
      <c r="Z9" t="s">
        <v>154</v>
      </c>
      <c r="AA9">
        <v>5953517</v>
      </c>
      <c r="AB9">
        <v>2970366</v>
      </c>
      <c r="AC9">
        <v>2983151</v>
      </c>
      <c r="AD9" t="str">
        <f>Labour_Master[[#This Row],[Year]] &amp; "-" &amp; Labour_Master[[#This Row],[Quarter]]</f>
        <v>2022-Q2</v>
      </c>
    </row>
    <row r="10" spans="1:30" x14ac:dyDescent="0.35">
      <c r="A10" t="s">
        <v>33</v>
      </c>
      <c r="B10" t="s">
        <v>24</v>
      </c>
      <c r="C10" t="s">
        <v>25</v>
      </c>
      <c r="D10" t="s">
        <v>34</v>
      </c>
      <c r="E10">
        <v>3261495</v>
      </c>
      <c r="F10">
        <v>1179102</v>
      </c>
      <c r="G10">
        <v>1468866</v>
      </c>
      <c r="H10">
        <v>1792629</v>
      </c>
      <c r="J10">
        <v>0.36152180636420395</v>
      </c>
      <c r="K10">
        <v>0.54963406199813081</v>
      </c>
      <c r="O10">
        <v>641220.19999999995</v>
      </c>
      <c r="P10">
        <v>537881.4</v>
      </c>
      <c r="Q10">
        <v>375818.6</v>
      </c>
      <c r="R10">
        <v>237709</v>
      </c>
      <c r="V10">
        <v>613527</v>
      </c>
      <c r="W10">
        <v>0.34224999620668817</v>
      </c>
      <c r="X10">
        <v>0.30005174523582351</v>
      </c>
      <c r="Y10">
        <v>2020</v>
      </c>
      <c r="Z10" t="s">
        <v>153</v>
      </c>
      <c r="AD10" t="str">
        <f>Labour_Master[[#This Row],[Year]] &amp; "-" &amp; Labour_Master[[#This Row],[Quarter]]</f>
        <v>2020-Q4</v>
      </c>
    </row>
    <row r="11" spans="1:30" x14ac:dyDescent="0.35">
      <c r="A11" t="s">
        <v>33</v>
      </c>
      <c r="B11" t="s">
        <v>24</v>
      </c>
      <c r="C11" t="s">
        <v>25</v>
      </c>
      <c r="D11" t="s">
        <v>34</v>
      </c>
      <c r="E11">
        <v>3890763</v>
      </c>
      <c r="F11">
        <v>3440402</v>
      </c>
      <c r="H11">
        <v>3592833</v>
      </c>
      <c r="I11">
        <v>0.06</v>
      </c>
      <c r="J11">
        <v>0.88424866793479839</v>
      </c>
      <c r="K11">
        <v>0.92342633051666212</v>
      </c>
      <c r="L11">
        <v>0.32700000000000001</v>
      </c>
      <c r="M11">
        <v>5.1999999999999998E-2</v>
      </c>
      <c r="N11">
        <v>0.33400000000000002</v>
      </c>
      <c r="S11">
        <v>0.94799999999999995</v>
      </c>
      <c r="T11">
        <v>5.1999999999999998E-2</v>
      </c>
      <c r="U11">
        <v>3310984</v>
      </c>
      <c r="V11">
        <v>152431</v>
      </c>
      <c r="W11">
        <v>4.2426408352406027E-2</v>
      </c>
      <c r="Y11">
        <v>2022</v>
      </c>
      <c r="Z11" t="s">
        <v>154</v>
      </c>
      <c r="AA11">
        <v>8308783</v>
      </c>
      <c r="AB11">
        <v>4148535</v>
      </c>
      <c r="AC11">
        <v>4160248</v>
      </c>
      <c r="AD11" t="str">
        <f>Labour_Master[[#This Row],[Year]] &amp; "-" &amp; Labour_Master[[#This Row],[Quarter]]</f>
        <v>2022-Q2</v>
      </c>
    </row>
    <row r="12" spans="1:30" x14ac:dyDescent="0.35">
      <c r="A12" t="s">
        <v>35</v>
      </c>
      <c r="B12" t="s">
        <v>28</v>
      </c>
      <c r="C12" t="s">
        <v>29</v>
      </c>
      <c r="D12" t="s">
        <v>36</v>
      </c>
      <c r="E12">
        <v>1480446</v>
      </c>
      <c r="F12">
        <v>604682</v>
      </c>
      <c r="G12">
        <v>525416</v>
      </c>
      <c r="H12">
        <v>955031</v>
      </c>
      <c r="J12">
        <v>0.40844566510934804</v>
      </c>
      <c r="K12">
        <v>0.64509653217150709</v>
      </c>
      <c r="O12">
        <v>315843.59999999998</v>
      </c>
      <c r="P12">
        <v>288838.40000000002</v>
      </c>
      <c r="Q12">
        <v>145233.9</v>
      </c>
      <c r="R12">
        <v>205115</v>
      </c>
      <c r="V12">
        <v>350349</v>
      </c>
      <c r="W12">
        <v>0.36684566612930181</v>
      </c>
      <c r="X12">
        <v>0.3024388323392293</v>
      </c>
      <c r="Y12">
        <v>2020</v>
      </c>
      <c r="Z12" t="s">
        <v>153</v>
      </c>
      <c r="AD12" t="str">
        <f>Labour_Master[[#This Row],[Year]] &amp; "-" &amp; Labour_Master[[#This Row],[Quarter]]</f>
        <v>2020-Q4</v>
      </c>
    </row>
    <row r="13" spans="1:30" x14ac:dyDescent="0.35">
      <c r="A13" t="s">
        <v>35</v>
      </c>
      <c r="B13" t="s">
        <v>28</v>
      </c>
      <c r="C13" t="s">
        <v>29</v>
      </c>
      <c r="D13" t="s">
        <v>36</v>
      </c>
      <c r="E13">
        <v>1424255</v>
      </c>
      <c r="F13">
        <v>930693</v>
      </c>
      <c r="H13">
        <v>993497</v>
      </c>
      <c r="I13">
        <v>0.14899999999999999</v>
      </c>
      <c r="J13">
        <v>0.6534595279637424</v>
      </c>
      <c r="K13">
        <v>0.69755556413704012</v>
      </c>
      <c r="L13">
        <v>0.18099999999999999</v>
      </c>
      <c r="M13">
        <v>0.10299999999999999</v>
      </c>
      <c r="N13">
        <v>0.216</v>
      </c>
      <c r="S13">
        <v>0.745</v>
      </c>
      <c r="T13">
        <v>0.255</v>
      </c>
      <c r="U13">
        <v>783274</v>
      </c>
      <c r="V13">
        <v>62804</v>
      </c>
      <c r="W13">
        <v>6.3215087715413329E-2</v>
      </c>
      <c r="Y13">
        <v>2022</v>
      </c>
      <c r="Z13" t="s">
        <v>154</v>
      </c>
      <c r="AA13">
        <v>2537375</v>
      </c>
      <c r="AB13">
        <v>1270277</v>
      </c>
      <c r="AC13">
        <v>1267098</v>
      </c>
      <c r="AD13" t="str">
        <f>Labour_Master[[#This Row],[Year]] &amp; "-" &amp; Labour_Master[[#This Row],[Quarter]]</f>
        <v>2022-Q2</v>
      </c>
    </row>
    <row r="14" spans="1:30" x14ac:dyDescent="0.35">
      <c r="A14" t="s">
        <v>37</v>
      </c>
      <c r="B14" t="s">
        <v>38</v>
      </c>
      <c r="C14" t="s">
        <v>39</v>
      </c>
      <c r="D14" t="s">
        <v>40</v>
      </c>
      <c r="E14">
        <v>3836244</v>
      </c>
      <c r="F14">
        <v>2493637</v>
      </c>
      <c r="G14">
        <v>1003296</v>
      </c>
      <c r="H14">
        <v>2832948</v>
      </c>
      <c r="J14">
        <v>0.65002040276789463</v>
      </c>
      <c r="K14">
        <v>0.73846925594569812</v>
      </c>
      <c r="O14">
        <v>1260804.3</v>
      </c>
      <c r="P14">
        <v>1232832.7</v>
      </c>
      <c r="Q14">
        <v>135238</v>
      </c>
      <c r="R14">
        <v>204073</v>
      </c>
      <c r="V14">
        <v>339311</v>
      </c>
      <c r="W14">
        <v>0.11977323695694564</v>
      </c>
      <c r="X14">
        <v>0.43517654610299289</v>
      </c>
      <c r="Y14">
        <v>2020</v>
      </c>
      <c r="Z14" t="s">
        <v>153</v>
      </c>
      <c r="AD14" t="str">
        <f>Labour_Master[[#This Row],[Year]] &amp; "-" &amp; Labour_Master[[#This Row],[Quarter]]</f>
        <v>2020-Q4</v>
      </c>
    </row>
    <row r="15" spans="1:30" x14ac:dyDescent="0.35">
      <c r="A15" t="s">
        <v>37</v>
      </c>
      <c r="B15" t="s">
        <v>38</v>
      </c>
      <c r="C15" t="s">
        <v>39</v>
      </c>
      <c r="D15" t="s">
        <v>40</v>
      </c>
      <c r="E15">
        <v>3417118</v>
      </c>
      <c r="F15">
        <v>2822648</v>
      </c>
      <c r="H15">
        <v>2869814</v>
      </c>
      <c r="I15">
        <v>0.106</v>
      </c>
      <c r="J15">
        <v>0.82603176126782862</v>
      </c>
      <c r="K15">
        <v>0.83983462087056993</v>
      </c>
      <c r="L15">
        <v>6.6000000000000003E-2</v>
      </c>
      <c r="M15">
        <v>2.8000000000000001E-2</v>
      </c>
      <c r="N15">
        <v>7.6999999999999999E-2</v>
      </c>
      <c r="S15">
        <v>0.93400000000000005</v>
      </c>
      <c r="T15">
        <v>6.6000000000000003E-2</v>
      </c>
      <c r="U15">
        <v>2745095</v>
      </c>
      <c r="V15">
        <v>47166</v>
      </c>
      <c r="W15">
        <v>1.6435211480604665E-2</v>
      </c>
      <c r="Y15">
        <v>2022</v>
      </c>
      <c r="Z15" t="s">
        <v>154</v>
      </c>
      <c r="AA15">
        <v>6141284</v>
      </c>
      <c r="AB15">
        <v>3036178</v>
      </c>
      <c r="AC15">
        <v>3105106</v>
      </c>
      <c r="AD15" t="str">
        <f>Labour_Master[[#This Row],[Year]] &amp; "-" &amp; Labour_Master[[#This Row],[Quarter]]</f>
        <v>2022-Q2</v>
      </c>
    </row>
    <row r="16" spans="1:30" x14ac:dyDescent="0.35">
      <c r="A16" t="s">
        <v>41</v>
      </c>
      <c r="B16" t="s">
        <v>24</v>
      </c>
      <c r="C16" t="s">
        <v>25</v>
      </c>
      <c r="D16" t="s">
        <v>42</v>
      </c>
      <c r="E16">
        <v>1873371</v>
      </c>
      <c r="F16">
        <v>602246</v>
      </c>
      <c r="G16">
        <v>812216</v>
      </c>
      <c r="H16">
        <v>1061155</v>
      </c>
      <c r="J16">
        <v>0.32147709738709579</v>
      </c>
      <c r="K16">
        <v>0.56644133672586228</v>
      </c>
      <c r="O16">
        <v>349193</v>
      </c>
      <c r="P16">
        <v>253053</v>
      </c>
      <c r="Q16">
        <v>285943.09999999998</v>
      </c>
      <c r="R16">
        <v>172966</v>
      </c>
      <c r="V16">
        <v>458909</v>
      </c>
      <c r="W16">
        <v>0.43246179870047258</v>
      </c>
      <c r="X16">
        <v>0.23846940362152561</v>
      </c>
      <c r="Y16">
        <v>2020</v>
      </c>
      <c r="Z16" t="s">
        <v>153</v>
      </c>
      <c r="AD16" t="str">
        <f>Labour_Master[[#This Row],[Year]] &amp; "-" &amp; Labour_Master[[#This Row],[Quarter]]</f>
        <v>2020-Q4</v>
      </c>
    </row>
    <row r="17" spans="1:30" x14ac:dyDescent="0.35">
      <c r="A17" t="s">
        <v>41</v>
      </c>
      <c r="B17" t="s">
        <v>24</v>
      </c>
      <c r="C17" t="s">
        <v>25</v>
      </c>
      <c r="D17" t="s">
        <v>42</v>
      </c>
      <c r="E17">
        <v>2738233</v>
      </c>
      <c r="F17">
        <v>2037731</v>
      </c>
      <c r="H17">
        <v>2198034</v>
      </c>
      <c r="I17">
        <v>0.125</v>
      </c>
      <c r="J17">
        <v>0.74417735817222275</v>
      </c>
      <c r="K17">
        <v>0.80271985619923503</v>
      </c>
      <c r="L17">
        <v>0.27300000000000002</v>
      </c>
      <c r="M17">
        <v>0.09</v>
      </c>
      <c r="N17">
        <v>0.28599999999999998</v>
      </c>
      <c r="S17">
        <v>0.78800000000000003</v>
      </c>
      <c r="T17">
        <v>0.21199999999999999</v>
      </c>
      <c r="U17">
        <v>1981880</v>
      </c>
      <c r="V17">
        <v>160303</v>
      </c>
      <c r="W17">
        <v>7.2930173054647926E-2</v>
      </c>
      <c r="Y17">
        <v>2022</v>
      </c>
      <c r="Z17" t="s">
        <v>154</v>
      </c>
      <c r="AA17">
        <v>6111462</v>
      </c>
      <c r="AB17">
        <v>3082067</v>
      </c>
      <c r="AC17">
        <v>3029395</v>
      </c>
      <c r="AD17" t="str">
        <f>Labour_Master[[#This Row],[Year]] &amp; "-" &amp; Labour_Master[[#This Row],[Quarter]]</f>
        <v>2022-Q2</v>
      </c>
    </row>
    <row r="18" spans="1:30" x14ac:dyDescent="0.35">
      <c r="A18" t="s">
        <v>43</v>
      </c>
      <c r="B18" t="s">
        <v>28</v>
      </c>
      <c r="C18" t="s">
        <v>29</v>
      </c>
      <c r="D18" t="s">
        <v>44</v>
      </c>
      <c r="E18">
        <v>2531503</v>
      </c>
      <c r="F18">
        <v>862349</v>
      </c>
      <c r="G18">
        <v>670951</v>
      </c>
      <c r="H18">
        <v>1860552</v>
      </c>
      <c r="J18">
        <v>0.34064716963423147</v>
      </c>
      <c r="K18">
        <v>0.73495945017964026</v>
      </c>
      <c r="O18">
        <v>531024.30000000005</v>
      </c>
      <c r="P18">
        <v>331325.2</v>
      </c>
      <c r="Q18">
        <v>314314.5</v>
      </c>
      <c r="R18">
        <v>683888</v>
      </c>
      <c r="V18">
        <v>998203</v>
      </c>
      <c r="W18">
        <v>0.53650889236002086</v>
      </c>
      <c r="X18">
        <v>0.17807895956909997</v>
      </c>
      <c r="Y18">
        <v>2020</v>
      </c>
      <c r="Z18" t="s">
        <v>153</v>
      </c>
      <c r="AD18" t="str">
        <f>Labour_Master[[#This Row],[Year]] &amp; "-" &amp; Labour_Master[[#This Row],[Quarter]]</f>
        <v>2020-Q4</v>
      </c>
    </row>
    <row r="19" spans="1:30" x14ac:dyDescent="0.35">
      <c r="A19" t="s">
        <v>43</v>
      </c>
      <c r="B19" t="s">
        <v>28</v>
      </c>
      <c r="C19" t="s">
        <v>29</v>
      </c>
      <c r="D19" t="s">
        <v>44</v>
      </c>
      <c r="E19">
        <v>2564531</v>
      </c>
      <c r="F19">
        <v>2022481</v>
      </c>
      <c r="H19">
        <v>2081663</v>
      </c>
      <c r="I19">
        <v>0.13500000000000001</v>
      </c>
      <c r="J19">
        <v>0.78863581684136397</v>
      </c>
      <c r="K19">
        <v>0.81171294088470758</v>
      </c>
      <c r="L19">
        <v>0.06</v>
      </c>
      <c r="M19">
        <v>0.04</v>
      </c>
      <c r="N19">
        <v>7.0999999999999994E-2</v>
      </c>
      <c r="S19">
        <v>0.86299999999999999</v>
      </c>
      <c r="T19">
        <v>0.13700000000000001</v>
      </c>
      <c r="U19">
        <v>1932142</v>
      </c>
      <c r="V19">
        <v>59181</v>
      </c>
      <c r="W19">
        <v>2.842967377524604E-2</v>
      </c>
      <c r="Y19">
        <v>2022</v>
      </c>
      <c r="Z19" t="s">
        <v>154</v>
      </c>
      <c r="AA19">
        <v>4406204</v>
      </c>
      <c r="AB19">
        <v>2199203</v>
      </c>
      <c r="AC19">
        <v>2207001</v>
      </c>
      <c r="AD19" t="str">
        <f>Labour_Master[[#This Row],[Year]] &amp; "-" &amp; Labour_Master[[#This Row],[Quarter]]</f>
        <v>2022-Q2</v>
      </c>
    </row>
    <row r="20" spans="1:30" x14ac:dyDescent="0.35">
      <c r="A20" t="s">
        <v>45</v>
      </c>
      <c r="B20" t="s">
        <v>28</v>
      </c>
      <c r="C20" t="s">
        <v>29</v>
      </c>
      <c r="D20" t="s">
        <v>46</v>
      </c>
      <c r="E20">
        <v>3937962</v>
      </c>
      <c r="F20">
        <v>1838388</v>
      </c>
      <c r="G20">
        <v>1268092</v>
      </c>
      <c r="H20">
        <v>2669869</v>
      </c>
      <c r="J20">
        <v>0.46683747416017152</v>
      </c>
      <c r="K20">
        <v>0.67798255518749995</v>
      </c>
      <c r="O20">
        <v>1197425.5</v>
      </c>
      <c r="P20">
        <v>640962.5</v>
      </c>
      <c r="Q20">
        <v>479068.6</v>
      </c>
      <c r="R20">
        <v>352413</v>
      </c>
      <c r="V20">
        <v>831481</v>
      </c>
      <c r="W20">
        <v>0.31143143641643567</v>
      </c>
      <c r="X20">
        <v>0.24007262228426768</v>
      </c>
      <c r="Y20">
        <v>2020</v>
      </c>
      <c r="Z20" t="s">
        <v>153</v>
      </c>
      <c r="AD20" t="str">
        <f>Labour_Master[[#This Row],[Year]] &amp; "-" &amp; Labour_Master[[#This Row],[Quarter]]</f>
        <v>2020-Q4</v>
      </c>
    </row>
    <row r="21" spans="1:30" x14ac:dyDescent="0.35">
      <c r="A21" t="s">
        <v>45</v>
      </c>
      <c r="B21" t="s">
        <v>28</v>
      </c>
      <c r="C21" t="s">
        <v>29</v>
      </c>
      <c r="D21" t="s">
        <v>46</v>
      </c>
      <c r="E21">
        <v>3229416</v>
      </c>
      <c r="F21">
        <v>1999112</v>
      </c>
      <c r="H21">
        <v>2178313</v>
      </c>
      <c r="I21">
        <v>0.27100000000000002</v>
      </c>
      <c r="J21">
        <v>0.61903204789968214</v>
      </c>
      <c r="K21">
        <v>0.6745222665646049</v>
      </c>
      <c r="L21">
        <v>0.20200000000000001</v>
      </c>
      <c r="M21">
        <v>0.15</v>
      </c>
      <c r="N21">
        <v>0.26100000000000001</v>
      </c>
      <c r="S21">
        <v>0.78300000000000003</v>
      </c>
      <c r="T21">
        <v>0.217</v>
      </c>
      <c r="U21">
        <v>1823185</v>
      </c>
      <c r="V21">
        <v>179201</v>
      </c>
      <c r="W21">
        <v>8.2265955351687292E-2</v>
      </c>
      <c r="Y21">
        <v>2022</v>
      </c>
      <c r="Z21" t="s">
        <v>154</v>
      </c>
      <c r="AA21">
        <v>5636145</v>
      </c>
      <c r="AB21">
        <v>2806860</v>
      </c>
      <c r="AC21">
        <v>2829285</v>
      </c>
      <c r="AD21" t="str">
        <f>Labour_Master[[#This Row],[Year]] &amp; "-" &amp; Labour_Master[[#This Row],[Quarter]]</f>
        <v>2022-Q2</v>
      </c>
    </row>
    <row r="22" spans="1:30" x14ac:dyDescent="0.35">
      <c r="A22" t="s">
        <v>47</v>
      </c>
      <c r="B22" t="s">
        <v>20</v>
      </c>
      <c r="C22" t="s">
        <v>21</v>
      </c>
      <c r="D22" t="s">
        <v>48</v>
      </c>
      <c r="E22">
        <v>1789131</v>
      </c>
      <c r="F22">
        <v>640261</v>
      </c>
      <c r="G22">
        <v>719192</v>
      </c>
      <c r="H22">
        <v>1069939</v>
      </c>
      <c r="J22">
        <v>0.35786174581106606</v>
      </c>
      <c r="K22">
        <v>0.59802179896761032</v>
      </c>
      <c r="O22">
        <v>405094.1</v>
      </c>
      <c r="P22">
        <v>235167.3</v>
      </c>
      <c r="Q22">
        <v>241371.7</v>
      </c>
      <c r="R22">
        <v>188306</v>
      </c>
      <c r="V22">
        <v>429678</v>
      </c>
      <c r="W22">
        <v>0.40159080082221499</v>
      </c>
      <c r="X22">
        <v>0.21979503319394531</v>
      </c>
      <c r="Y22">
        <v>2020</v>
      </c>
      <c r="Z22" t="s">
        <v>153</v>
      </c>
      <c r="AD22" t="str">
        <f>Labour_Master[[#This Row],[Year]] &amp; "-" &amp; Labour_Master[[#This Row],[Quarter]]</f>
        <v>2020-Q4</v>
      </c>
    </row>
    <row r="23" spans="1:30" x14ac:dyDescent="0.35">
      <c r="A23" t="s">
        <v>47</v>
      </c>
      <c r="B23" t="s">
        <v>20</v>
      </c>
      <c r="C23" t="s">
        <v>21</v>
      </c>
      <c r="D23" t="s">
        <v>48</v>
      </c>
      <c r="E23">
        <v>1640939</v>
      </c>
      <c r="F23">
        <v>1004301</v>
      </c>
      <c r="H23">
        <v>1042528</v>
      </c>
      <c r="I23">
        <v>0.152</v>
      </c>
      <c r="J23">
        <v>0.61202823505322257</v>
      </c>
      <c r="K23">
        <v>0.6353240431240893</v>
      </c>
      <c r="L23">
        <v>0.253</v>
      </c>
      <c r="M23">
        <v>0.11</v>
      </c>
      <c r="N23">
        <v>0.31</v>
      </c>
      <c r="S23">
        <v>0.83099999999999996</v>
      </c>
      <c r="T23">
        <v>0.16900000000000001</v>
      </c>
      <c r="U23">
        <v>963518</v>
      </c>
      <c r="V23">
        <v>38227</v>
      </c>
      <c r="W23">
        <v>3.6667600294668347E-2</v>
      </c>
      <c r="Y23">
        <v>2022</v>
      </c>
      <c r="Z23" t="s">
        <v>154</v>
      </c>
      <c r="AA23">
        <v>3242518</v>
      </c>
      <c r="AB23">
        <v>1538774</v>
      </c>
      <c r="AC23">
        <v>1703744</v>
      </c>
      <c r="AD23" t="str">
        <f>Labour_Master[[#This Row],[Year]] &amp; "-" &amp; Labour_Master[[#This Row],[Quarter]]</f>
        <v>2022-Q2</v>
      </c>
    </row>
    <row r="24" spans="1:30" x14ac:dyDescent="0.35">
      <c r="A24" t="s">
        <v>49</v>
      </c>
      <c r="B24" t="s">
        <v>28</v>
      </c>
      <c r="C24" t="s">
        <v>29</v>
      </c>
      <c r="D24" t="s">
        <v>50</v>
      </c>
      <c r="E24">
        <v>2884651</v>
      </c>
      <c r="F24">
        <v>737354</v>
      </c>
      <c r="G24">
        <v>1438198</v>
      </c>
      <c r="H24">
        <v>1446453</v>
      </c>
      <c r="J24">
        <v>0.25561305297500092</v>
      </c>
      <c r="K24">
        <v>0.50143088356748289</v>
      </c>
      <c r="O24">
        <v>507888.8</v>
      </c>
      <c r="P24">
        <v>229465.60000000001</v>
      </c>
      <c r="Q24">
        <v>296673.3</v>
      </c>
      <c r="R24">
        <v>412425</v>
      </c>
      <c r="V24">
        <v>709099</v>
      </c>
      <c r="W24">
        <v>0.49023272927184924</v>
      </c>
      <c r="X24">
        <v>0.15864018275876468</v>
      </c>
      <c r="Y24">
        <v>2020</v>
      </c>
      <c r="Z24" t="s">
        <v>153</v>
      </c>
      <c r="AD24" t="str">
        <f>Labour_Master[[#This Row],[Year]] &amp; "-" &amp; Labour_Master[[#This Row],[Quarter]]</f>
        <v>2020-Q4</v>
      </c>
    </row>
    <row r="25" spans="1:30" x14ac:dyDescent="0.35">
      <c r="A25" t="s">
        <v>49</v>
      </c>
      <c r="B25" t="s">
        <v>28</v>
      </c>
      <c r="C25" t="s">
        <v>29</v>
      </c>
      <c r="D25" t="s">
        <v>50</v>
      </c>
      <c r="E25">
        <v>2863094</v>
      </c>
      <c r="F25">
        <v>1954445</v>
      </c>
      <c r="H25">
        <v>2045316</v>
      </c>
      <c r="I25">
        <v>0.19700000000000001</v>
      </c>
      <c r="J25">
        <v>0.68263389186663104</v>
      </c>
      <c r="K25">
        <v>0.71437263324221978</v>
      </c>
      <c r="L25">
        <v>6.4000000000000001E-2</v>
      </c>
      <c r="M25">
        <v>4.4999999999999998E-2</v>
      </c>
      <c r="N25">
        <v>6.4000000000000001E-2</v>
      </c>
      <c r="S25">
        <v>0.85099999999999998</v>
      </c>
      <c r="T25">
        <v>0.14899999999999999</v>
      </c>
      <c r="U25">
        <v>1816827</v>
      </c>
      <c r="V25">
        <v>90871</v>
      </c>
      <c r="W25">
        <v>4.4428831535078199E-2</v>
      </c>
      <c r="Y25">
        <v>2022</v>
      </c>
      <c r="Z25" t="s">
        <v>154</v>
      </c>
      <c r="AA25">
        <v>4777042</v>
      </c>
      <c r="AB25">
        <v>2394887</v>
      </c>
      <c r="AC25">
        <v>2382155</v>
      </c>
      <c r="AD25" t="str">
        <f>Labour_Master[[#This Row],[Year]] &amp; "-" &amp; Labour_Master[[#This Row],[Quarter]]</f>
        <v>2022-Q2</v>
      </c>
    </row>
    <row r="26" spans="1:30" x14ac:dyDescent="0.35">
      <c r="A26" t="s">
        <v>51</v>
      </c>
      <c r="B26" t="s">
        <v>52</v>
      </c>
      <c r="C26" t="s">
        <v>53</v>
      </c>
      <c r="D26" t="s">
        <v>54</v>
      </c>
      <c r="E26">
        <v>2158780</v>
      </c>
      <c r="F26">
        <v>983013</v>
      </c>
      <c r="G26">
        <v>708743</v>
      </c>
      <c r="H26">
        <v>1450037</v>
      </c>
      <c r="J26">
        <v>0.45535557533833221</v>
      </c>
      <c r="K26">
        <v>0.67169283839086524</v>
      </c>
      <c r="O26">
        <v>675928.7</v>
      </c>
      <c r="P26">
        <v>307083.8</v>
      </c>
      <c r="Q26">
        <v>304731.09999999998</v>
      </c>
      <c r="R26">
        <v>162294</v>
      </c>
      <c r="V26">
        <v>467025</v>
      </c>
      <c r="W26">
        <v>0.32207766807637761</v>
      </c>
      <c r="X26">
        <v>0.21177649787191666</v>
      </c>
      <c r="Y26">
        <v>2020</v>
      </c>
      <c r="Z26" t="s">
        <v>153</v>
      </c>
      <c r="AD26" t="str">
        <f>Labour_Master[[#This Row],[Year]] &amp; "-" &amp; Labour_Master[[#This Row],[Quarter]]</f>
        <v>2020-Q4</v>
      </c>
    </row>
    <row r="27" spans="1:30" x14ac:dyDescent="0.35">
      <c r="A27" t="s">
        <v>51</v>
      </c>
      <c r="B27" t="s">
        <v>52</v>
      </c>
      <c r="C27" t="s">
        <v>53</v>
      </c>
      <c r="D27" t="s">
        <v>54</v>
      </c>
      <c r="E27">
        <v>2186861</v>
      </c>
      <c r="F27">
        <v>1309749</v>
      </c>
      <c r="H27">
        <v>1386017</v>
      </c>
      <c r="I27">
        <v>0.27900000000000003</v>
      </c>
      <c r="J27">
        <v>0.59891735231457321</v>
      </c>
      <c r="K27">
        <v>0.63379291139217353</v>
      </c>
      <c r="L27">
        <v>0.106</v>
      </c>
      <c r="M27">
        <v>0.08</v>
      </c>
      <c r="N27">
        <v>0.129</v>
      </c>
      <c r="S27">
        <v>0.77</v>
      </c>
      <c r="T27">
        <v>0.23</v>
      </c>
      <c r="U27">
        <v>1128222</v>
      </c>
      <c r="V27">
        <v>76269</v>
      </c>
      <c r="W27">
        <v>5.5027463588108949E-2</v>
      </c>
      <c r="Y27">
        <v>2022</v>
      </c>
      <c r="Z27" t="s">
        <v>154</v>
      </c>
      <c r="AA27">
        <v>3592163</v>
      </c>
      <c r="AB27">
        <v>1792685</v>
      </c>
      <c r="AC27">
        <v>1799478</v>
      </c>
      <c r="AD27" t="str">
        <f>Labour_Master[[#This Row],[Year]] &amp; "-" &amp; Labour_Master[[#This Row],[Quarter]]</f>
        <v>2022-Q2</v>
      </c>
    </row>
    <row r="28" spans="1:30" x14ac:dyDescent="0.35">
      <c r="A28" t="s">
        <v>55</v>
      </c>
      <c r="B28" t="s">
        <v>20</v>
      </c>
      <c r="C28" t="s">
        <v>21</v>
      </c>
      <c r="D28" t="s">
        <v>56</v>
      </c>
      <c r="E28">
        <v>2924626</v>
      </c>
      <c r="F28">
        <v>1171135</v>
      </c>
      <c r="G28">
        <v>1211875</v>
      </c>
      <c r="H28">
        <v>1712751</v>
      </c>
      <c r="J28">
        <v>0.40043922876574006</v>
      </c>
      <c r="K28">
        <v>0.58563068382445993</v>
      </c>
      <c r="O28">
        <v>806519.5</v>
      </c>
      <c r="P28">
        <v>364615.66</v>
      </c>
      <c r="Q28">
        <v>287085.2</v>
      </c>
      <c r="R28">
        <v>254531</v>
      </c>
      <c r="V28">
        <v>541616</v>
      </c>
      <c r="W28">
        <v>0.31622566947709679</v>
      </c>
      <c r="X28">
        <v>0.21288306431483994</v>
      </c>
      <c r="Y28">
        <v>2020</v>
      </c>
      <c r="Z28" t="s">
        <v>153</v>
      </c>
      <c r="AD28" t="str">
        <f>Labour_Master[[#This Row],[Year]] &amp; "-" &amp; Labour_Master[[#This Row],[Quarter]]</f>
        <v>2020-Q4</v>
      </c>
    </row>
    <row r="29" spans="1:30" x14ac:dyDescent="0.35">
      <c r="A29" t="s">
        <v>55</v>
      </c>
      <c r="B29" t="s">
        <v>20</v>
      </c>
      <c r="C29" t="s">
        <v>21</v>
      </c>
      <c r="D29" t="s">
        <v>56</v>
      </c>
      <c r="E29">
        <v>2740308</v>
      </c>
      <c r="F29">
        <v>1777979</v>
      </c>
      <c r="H29">
        <v>1889606</v>
      </c>
      <c r="I29">
        <v>0.19500000000000001</v>
      </c>
      <c r="J29">
        <v>0.64882451169722533</v>
      </c>
      <c r="K29">
        <v>0.68955971372561042</v>
      </c>
      <c r="L29">
        <v>8.8999999999999996E-2</v>
      </c>
      <c r="M29">
        <v>8.4000000000000005E-2</v>
      </c>
      <c r="N29">
        <v>0.113</v>
      </c>
      <c r="S29">
        <v>0.77800000000000002</v>
      </c>
      <c r="T29">
        <v>0.222</v>
      </c>
      <c r="U29">
        <v>1573756</v>
      </c>
      <c r="V29">
        <v>111627</v>
      </c>
      <c r="W29">
        <v>5.9074219705060209E-2</v>
      </c>
      <c r="Y29">
        <v>2022</v>
      </c>
      <c r="Z29" t="s">
        <v>154</v>
      </c>
      <c r="AA29">
        <v>4690053</v>
      </c>
      <c r="AB29">
        <v>2238940</v>
      </c>
      <c r="AC29">
        <v>2451113</v>
      </c>
      <c r="AD29" t="str">
        <f>Labour_Master[[#This Row],[Year]] &amp; "-" &amp; Labour_Master[[#This Row],[Quarter]]</f>
        <v>2022-Q2</v>
      </c>
    </row>
    <row r="30" spans="1:30" x14ac:dyDescent="0.35">
      <c r="A30" t="s">
        <v>57</v>
      </c>
      <c r="B30" t="s">
        <v>38</v>
      </c>
      <c r="C30" t="s">
        <v>39</v>
      </c>
      <c r="D30" t="s">
        <v>58</v>
      </c>
      <c r="E30">
        <v>2940209</v>
      </c>
      <c r="F30">
        <v>979320</v>
      </c>
      <c r="G30">
        <v>1296957</v>
      </c>
      <c r="H30">
        <v>1643252</v>
      </c>
      <c r="J30">
        <v>0.33307846480421605</v>
      </c>
      <c r="K30">
        <v>0.55888940808861631</v>
      </c>
      <c r="O30">
        <v>763787.3</v>
      </c>
      <c r="P30">
        <v>215532.9</v>
      </c>
      <c r="Q30">
        <v>260433.2</v>
      </c>
      <c r="R30">
        <v>403498</v>
      </c>
      <c r="V30">
        <v>663931</v>
      </c>
      <c r="W30">
        <v>0.40403510965911188</v>
      </c>
      <c r="X30">
        <v>0.1311624544386541</v>
      </c>
      <c r="Y30">
        <v>2020</v>
      </c>
      <c r="Z30" t="s">
        <v>153</v>
      </c>
      <c r="AD30" t="str">
        <f>Labour_Master[[#This Row],[Year]] &amp; "-" &amp; Labour_Master[[#This Row],[Quarter]]</f>
        <v>2020-Q4</v>
      </c>
    </row>
    <row r="31" spans="1:30" x14ac:dyDescent="0.35">
      <c r="A31" t="s">
        <v>57</v>
      </c>
      <c r="B31" t="s">
        <v>38</v>
      </c>
      <c r="C31" t="s">
        <v>39</v>
      </c>
      <c r="D31" t="s">
        <v>58</v>
      </c>
      <c r="E31">
        <v>1690500</v>
      </c>
      <c r="F31">
        <v>942479</v>
      </c>
      <c r="H31">
        <v>1097280</v>
      </c>
      <c r="I31">
        <v>0.27300000000000002</v>
      </c>
      <c r="J31">
        <v>0.55751493640934635</v>
      </c>
      <c r="K31">
        <v>0.64908606921029277</v>
      </c>
      <c r="L31">
        <v>0.192</v>
      </c>
      <c r="M31">
        <v>0.16200000000000001</v>
      </c>
      <c r="N31">
        <v>0.21299999999999999</v>
      </c>
      <c r="S31">
        <v>0.72799999999999998</v>
      </c>
      <c r="T31">
        <v>0.27200000000000002</v>
      </c>
      <c r="U31">
        <v>721365</v>
      </c>
      <c r="V31">
        <v>154802</v>
      </c>
      <c r="W31">
        <v>0.14107793817439487</v>
      </c>
      <c r="Y31">
        <v>2022</v>
      </c>
      <c r="Z31" t="s">
        <v>154</v>
      </c>
      <c r="AA31">
        <v>3067457</v>
      </c>
      <c r="AB31">
        <v>1583259</v>
      </c>
      <c r="AC31">
        <v>1484198</v>
      </c>
      <c r="AD31" t="str">
        <f>Labour_Master[[#This Row],[Year]] &amp; "-" &amp; Labour_Master[[#This Row],[Quarter]]</f>
        <v>2022-Q2</v>
      </c>
    </row>
    <row r="32" spans="1:30" x14ac:dyDescent="0.35">
      <c r="A32" t="s">
        <v>59</v>
      </c>
      <c r="B32" t="s">
        <v>24</v>
      </c>
      <c r="C32" t="s">
        <v>25</v>
      </c>
      <c r="D32" t="s">
        <v>60</v>
      </c>
      <c r="E32">
        <v>1919321</v>
      </c>
      <c r="F32">
        <v>567959</v>
      </c>
      <c r="G32">
        <v>1093075</v>
      </c>
      <c r="H32">
        <v>826246</v>
      </c>
      <c r="J32">
        <v>0.29591661343169728</v>
      </c>
      <c r="K32">
        <v>0.43048888484579262</v>
      </c>
      <c r="O32">
        <v>279272</v>
      </c>
      <c r="P32">
        <v>288687</v>
      </c>
      <c r="Q32">
        <v>141769.9</v>
      </c>
      <c r="R32">
        <v>116518</v>
      </c>
      <c r="V32">
        <v>258287</v>
      </c>
      <c r="W32">
        <v>0.3126033589979938</v>
      </c>
      <c r="X32">
        <v>0.34939577346418693</v>
      </c>
      <c r="Y32">
        <v>2020</v>
      </c>
      <c r="Z32" t="s">
        <v>153</v>
      </c>
      <c r="AD32" t="str">
        <f>Labour_Master[[#This Row],[Year]] &amp; "-" &amp; Labour_Master[[#This Row],[Quarter]]</f>
        <v>2020-Q4</v>
      </c>
    </row>
    <row r="33" spans="1:30" x14ac:dyDescent="0.35">
      <c r="A33" t="s">
        <v>59</v>
      </c>
      <c r="B33" t="s">
        <v>24</v>
      </c>
      <c r="C33" t="s">
        <v>25</v>
      </c>
      <c r="D33" t="s">
        <v>60</v>
      </c>
      <c r="E33">
        <v>1959268</v>
      </c>
      <c r="F33">
        <v>1163993</v>
      </c>
      <c r="H33">
        <v>1310224</v>
      </c>
      <c r="I33">
        <v>0.188</v>
      </c>
      <c r="J33">
        <v>0.59409585620752237</v>
      </c>
      <c r="K33">
        <v>0.66873138335337479</v>
      </c>
      <c r="L33">
        <v>0.27100000000000002</v>
      </c>
      <c r="M33">
        <v>0.21199999999999999</v>
      </c>
      <c r="N33">
        <v>0.35399999999999998</v>
      </c>
      <c r="S33">
        <v>0.90200000000000002</v>
      </c>
      <c r="T33">
        <v>9.8000000000000004E-2</v>
      </c>
      <c r="U33">
        <v>1016529</v>
      </c>
      <c r="V33">
        <v>146231</v>
      </c>
      <c r="W33">
        <v>0.11160763350388941</v>
      </c>
      <c r="Y33">
        <v>2022</v>
      </c>
      <c r="Z33" t="s">
        <v>154</v>
      </c>
      <c r="AA33">
        <v>3960122</v>
      </c>
      <c r="AB33">
        <v>2052241</v>
      </c>
      <c r="AC33">
        <v>1907881</v>
      </c>
      <c r="AD33" t="str">
        <f>Labour_Master[[#This Row],[Year]] &amp; "-" &amp; Labour_Master[[#This Row],[Quarter]]</f>
        <v>2022-Q2</v>
      </c>
    </row>
    <row r="34" spans="1:30" x14ac:dyDescent="0.35">
      <c r="A34" t="s">
        <v>61</v>
      </c>
      <c r="B34" t="s">
        <v>20</v>
      </c>
      <c r="C34" t="s">
        <v>21</v>
      </c>
      <c r="D34" t="s">
        <v>62</v>
      </c>
      <c r="E34">
        <v>3739211</v>
      </c>
      <c r="F34">
        <v>844157</v>
      </c>
      <c r="G34">
        <v>1792529</v>
      </c>
      <c r="H34">
        <v>1946682</v>
      </c>
      <c r="J34">
        <v>0.22575806897454731</v>
      </c>
      <c r="K34">
        <v>0.52061295708570832</v>
      </c>
      <c r="O34">
        <v>340034.3</v>
      </c>
      <c r="P34">
        <v>504122.8</v>
      </c>
      <c r="Q34">
        <v>493366.4</v>
      </c>
      <c r="R34">
        <v>609158</v>
      </c>
      <c r="V34">
        <v>1102525</v>
      </c>
      <c r="W34">
        <v>0.56636102520709863</v>
      </c>
      <c r="X34">
        <v>0.25896517859261847</v>
      </c>
      <c r="Y34">
        <v>2020</v>
      </c>
      <c r="Z34" t="s">
        <v>153</v>
      </c>
      <c r="AD34" t="str">
        <f>Labour_Master[[#This Row],[Year]] &amp; "-" &amp; Labour_Master[[#This Row],[Quarter]]</f>
        <v>2020-Q4</v>
      </c>
    </row>
    <row r="35" spans="1:30" x14ac:dyDescent="0.35">
      <c r="A35" t="s">
        <v>61</v>
      </c>
      <c r="B35" t="s">
        <v>20</v>
      </c>
      <c r="C35" t="s">
        <v>21</v>
      </c>
      <c r="D35" t="s">
        <v>62</v>
      </c>
      <c r="E35">
        <v>3230701</v>
      </c>
      <c r="F35">
        <v>2009039</v>
      </c>
      <c r="H35">
        <v>2254053</v>
      </c>
      <c r="I35">
        <v>0.23899999999999999</v>
      </c>
      <c r="J35">
        <v>0.62185853782197731</v>
      </c>
      <c r="K35">
        <v>0.69769780614176302</v>
      </c>
      <c r="L35">
        <v>0.27600000000000002</v>
      </c>
      <c r="M35">
        <v>0.20200000000000001</v>
      </c>
      <c r="N35">
        <v>0.35199999999999998</v>
      </c>
      <c r="S35">
        <v>0.77600000000000002</v>
      </c>
      <c r="T35">
        <v>0.224</v>
      </c>
      <c r="U35">
        <v>1887282</v>
      </c>
      <c r="V35">
        <v>245014</v>
      </c>
      <c r="W35">
        <v>0.10869930742533561</v>
      </c>
      <c r="Y35">
        <v>2022</v>
      </c>
      <c r="Z35" t="s">
        <v>154</v>
      </c>
      <c r="AA35">
        <v>5459337</v>
      </c>
      <c r="AB35">
        <v>2710727</v>
      </c>
      <c r="AC35">
        <v>2748610</v>
      </c>
      <c r="AD35" t="str">
        <f>Labour_Master[[#This Row],[Year]] &amp; "-" &amp; Labour_Master[[#This Row],[Quarter]]</f>
        <v>2022-Q2</v>
      </c>
    </row>
    <row r="36" spans="1:30" x14ac:dyDescent="0.35">
      <c r="A36" t="s">
        <v>63</v>
      </c>
      <c r="B36" t="s">
        <v>64</v>
      </c>
      <c r="C36" t="s">
        <v>65</v>
      </c>
      <c r="D36" t="s">
        <v>66</v>
      </c>
      <c r="E36">
        <v>3022348</v>
      </c>
      <c r="F36">
        <v>896843</v>
      </c>
      <c r="G36">
        <v>1559527</v>
      </c>
      <c r="H36">
        <v>1462821</v>
      </c>
      <c r="J36">
        <v>0.2967371628457634</v>
      </c>
      <c r="K36">
        <v>0.48400141320579804</v>
      </c>
      <c r="O36">
        <v>292871.5</v>
      </c>
      <c r="P36">
        <v>603971.55000000005</v>
      </c>
      <c r="Q36">
        <v>480516.7</v>
      </c>
      <c r="R36">
        <v>85461</v>
      </c>
      <c r="V36">
        <v>565978</v>
      </c>
      <c r="W36">
        <v>0.38690847846844945</v>
      </c>
      <c r="X36">
        <v>0.41288143428094543</v>
      </c>
      <c r="Y36">
        <v>2020</v>
      </c>
      <c r="Z36" t="s">
        <v>153</v>
      </c>
      <c r="AD36" t="str">
        <f>Labour_Master[[#This Row],[Year]] &amp; "-" &amp; Labour_Master[[#This Row],[Quarter]]</f>
        <v>2020-Q4</v>
      </c>
    </row>
    <row r="37" spans="1:30" x14ac:dyDescent="0.35">
      <c r="A37" t="s">
        <v>63</v>
      </c>
      <c r="B37" t="s">
        <v>64</v>
      </c>
      <c r="C37" t="s">
        <v>65</v>
      </c>
      <c r="D37" t="s">
        <v>66</v>
      </c>
      <c r="E37">
        <v>3313995</v>
      </c>
      <c r="F37">
        <v>2318975</v>
      </c>
      <c r="H37">
        <v>2415328</v>
      </c>
      <c r="I37">
        <v>0.158</v>
      </c>
      <c r="J37">
        <v>0.69975211187705477</v>
      </c>
      <c r="K37">
        <v>0.72882668803060957</v>
      </c>
      <c r="L37">
        <v>6.5000000000000002E-2</v>
      </c>
      <c r="M37">
        <v>5.3999999999999999E-2</v>
      </c>
      <c r="N37">
        <v>7.9000000000000001E-2</v>
      </c>
      <c r="S37">
        <v>0.96699999999999997</v>
      </c>
      <c r="T37">
        <v>3.3000000000000002E-2</v>
      </c>
      <c r="U37">
        <v>2240375</v>
      </c>
      <c r="V37">
        <v>96353</v>
      </c>
      <c r="W37">
        <v>3.9892304482041362E-2</v>
      </c>
      <c r="Y37">
        <v>2022</v>
      </c>
      <c r="Z37" t="s">
        <v>154</v>
      </c>
      <c r="AA37">
        <v>7499059</v>
      </c>
      <c r="AB37">
        <v>3704594</v>
      </c>
      <c r="AC37">
        <v>3818803</v>
      </c>
      <c r="AD37" t="str">
        <f>Labour_Master[[#This Row],[Year]] &amp; "-" &amp; Labour_Master[[#This Row],[Quarter]]</f>
        <v>2022-Q2</v>
      </c>
    </row>
    <row r="38" spans="1:30" x14ac:dyDescent="0.35">
      <c r="A38" t="s">
        <v>67</v>
      </c>
      <c r="B38" t="s">
        <v>64</v>
      </c>
      <c r="C38" t="s">
        <v>65</v>
      </c>
      <c r="D38" t="s">
        <v>68</v>
      </c>
      <c r="E38">
        <v>5378881</v>
      </c>
      <c r="F38">
        <v>1394326</v>
      </c>
      <c r="G38">
        <v>2873464</v>
      </c>
      <c r="H38">
        <v>2505417</v>
      </c>
      <c r="J38">
        <v>0.25922240593866258</v>
      </c>
      <c r="K38">
        <v>0.46578781970101552</v>
      </c>
      <c r="O38">
        <v>826930.2</v>
      </c>
      <c r="P38">
        <v>567396.4</v>
      </c>
      <c r="Q38">
        <v>326887.2</v>
      </c>
      <c r="R38">
        <v>784204</v>
      </c>
      <c r="V38">
        <v>1111091</v>
      </c>
      <c r="W38">
        <v>0.44347534440669828</v>
      </c>
      <c r="X38">
        <v>0.22646782234640117</v>
      </c>
      <c r="Y38">
        <v>2020</v>
      </c>
      <c r="Z38" t="s">
        <v>153</v>
      </c>
      <c r="AD38" t="str">
        <f>Labour_Master[[#This Row],[Year]] &amp; "-" &amp; Labour_Master[[#This Row],[Quarter]]</f>
        <v>2020-Q4</v>
      </c>
    </row>
    <row r="39" spans="1:30" x14ac:dyDescent="0.35">
      <c r="A39" t="s">
        <v>67</v>
      </c>
      <c r="B39" t="s">
        <v>64</v>
      </c>
      <c r="C39" t="s">
        <v>65</v>
      </c>
      <c r="D39" t="s">
        <v>68</v>
      </c>
      <c r="E39">
        <v>4475803</v>
      </c>
      <c r="F39">
        <v>3600438</v>
      </c>
      <c r="H39">
        <v>3699043</v>
      </c>
      <c r="I39">
        <v>0.10299999999999999</v>
      </c>
      <c r="J39">
        <v>0.80442280413145972</v>
      </c>
      <c r="K39">
        <v>0.82645348778755456</v>
      </c>
      <c r="L39">
        <v>0.32900000000000001</v>
      </c>
      <c r="M39">
        <v>0.12</v>
      </c>
      <c r="N39">
        <v>0.39400000000000002</v>
      </c>
      <c r="S39">
        <v>0.874</v>
      </c>
      <c r="T39">
        <v>0.126</v>
      </c>
      <c r="U39">
        <v>3440860</v>
      </c>
      <c r="V39">
        <v>98606</v>
      </c>
      <c r="W39">
        <v>2.6657165110002778E-2</v>
      </c>
      <c r="Y39">
        <v>2022</v>
      </c>
      <c r="Z39" t="s">
        <v>154</v>
      </c>
      <c r="AA39">
        <v>9032181</v>
      </c>
      <c r="AB39">
        <v>4450617</v>
      </c>
      <c r="AC39">
        <v>4581564</v>
      </c>
      <c r="AD39" t="str">
        <f>Labour_Master[[#This Row],[Year]] &amp; "-" &amp; Labour_Master[[#This Row],[Quarter]]</f>
        <v>2022-Q2</v>
      </c>
    </row>
    <row r="40" spans="1:30" x14ac:dyDescent="0.35">
      <c r="A40" t="s">
        <v>69</v>
      </c>
      <c r="B40" t="s">
        <v>64</v>
      </c>
      <c r="C40" t="s">
        <v>65</v>
      </c>
      <c r="D40" t="s">
        <v>70</v>
      </c>
      <c r="E40">
        <v>7200704</v>
      </c>
      <c r="F40">
        <v>2110744</v>
      </c>
      <c r="G40">
        <v>4372873</v>
      </c>
      <c r="H40">
        <v>2827830</v>
      </c>
      <c r="J40">
        <v>0.29313024762094425</v>
      </c>
      <c r="K40">
        <v>0.39271580894838959</v>
      </c>
      <c r="O40">
        <v>1228531.2</v>
      </c>
      <c r="P40">
        <v>882212.7</v>
      </c>
      <c r="Q40">
        <v>569176.5</v>
      </c>
      <c r="R40">
        <v>147910</v>
      </c>
      <c r="V40">
        <v>717086</v>
      </c>
      <c r="W40">
        <v>0.25358174806895223</v>
      </c>
      <c r="X40">
        <v>0.31197514306110535</v>
      </c>
      <c r="Y40">
        <v>2020</v>
      </c>
      <c r="Z40" t="s">
        <v>153</v>
      </c>
      <c r="AD40" t="str">
        <f>Labour_Master[[#This Row],[Year]] &amp; "-" &amp; Labour_Master[[#This Row],[Quarter]]</f>
        <v>2020-Q4</v>
      </c>
    </row>
    <row r="41" spans="1:30" x14ac:dyDescent="0.35">
      <c r="A41" t="s">
        <v>69</v>
      </c>
      <c r="B41" t="s">
        <v>64</v>
      </c>
      <c r="C41" t="s">
        <v>65</v>
      </c>
      <c r="D41" t="s">
        <v>70</v>
      </c>
      <c r="E41">
        <v>7174289</v>
      </c>
      <c r="F41">
        <v>5434681</v>
      </c>
      <c r="H41">
        <v>5881156</v>
      </c>
      <c r="I41">
        <v>0.125</v>
      </c>
      <c r="J41">
        <v>0.75752189520104363</v>
      </c>
      <c r="K41">
        <v>0.81975454292404448</v>
      </c>
      <c r="L41">
        <v>0.222</v>
      </c>
      <c r="M41">
        <v>0.125</v>
      </c>
      <c r="N41">
        <v>0.26400000000000001</v>
      </c>
      <c r="S41">
        <v>0.90700000000000003</v>
      </c>
      <c r="T41">
        <v>9.2999999999999999E-2</v>
      </c>
      <c r="U41">
        <v>5197699</v>
      </c>
      <c r="V41">
        <v>446475</v>
      </c>
      <c r="W41">
        <v>7.5916197427852619E-2</v>
      </c>
      <c r="Y41">
        <v>2022</v>
      </c>
      <c r="Z41" t="s">
        <v>154</v>
      </c>
      <c r="AA41">
        <v>15462177</v>
      </c>
      <c r="AB41">
        <v>8025613</v>
      </c>
      <c r="AC41">
        <v>7436564</v>
      </c>
      <c r="AD41" t="str">
        <f>Labour_Master[[#This Row],[Year]] &amp; "-" &amp; Labour_Master[[#This Row],[Quarter]]</f>
        <v>2022-Q2</v>
      </c>
    </row>
    <row r="42" spans="1:30" x14ac:dyDescent="0.35">
      <c r="A42" t="s">
        <v>71</v>
      </c>
      <c r="B42" t="s">
        <v>64</v>
      </c>
      <c r="C42" t="s">
        <v>65</v>
      </c>
      <c r="D42" t="s">
        <v>72</v>
      </c>
      <c r="E42">
        <v>4491289</v>
      </c>
      <c r="F42">
        <v>1297041</v>
      </c>
      <c r="G42">
        <v>2755440</v>
      </c>
      <c r="H42">
        <v>1735849</v>
      </c>
      <c r="J42">
        <v>0.28879037101311261</v>
      </c>
      <c r="K42">
        <v>0.38649236687902072</v>
      </c>
      <c r="O42">
        <v>888364.9</v>
      </c>
      <c r="P42">
        <v>408676</v>
      </c>
      <c r="Q42">
        <v>372644</v>
      </c>
      <c r="R42">
        <v>66164</v>
      </c>
      <c r="V42">
        <v>438808</v>
      </c>
      <c r="W42">
        <v>0.2527915276952693</v>
      </c>
      <c r="X42">
        <v>0.23543294784660967</v>
      </c>
      <c r="Y42">
        <v>2020</v>
      </c>
      <c r="Z42" t="s">
        <v>153</v>
      </c>
      <c r="AD42" t="str">
        <f>Labour_Master[[#This Row],[Year]] &amp; "-" &amp; Labour_Master[[#This Row],[Quarter]]</f>
        <v>2020-Q4</v>
      </c>
    </row>
    <row r="43" spans="1:30" x14ac:dyDescent="0.35">
      <c r="A43" t="s">
        <v>71</v>
      </c>
      <c r="B43" t="s">
        <v>64</v>
      </c>
      <c r="C43" t="s">
        <v>65</v>
      </c>
      <c r="D43" t="s">
        <v>72</v>
      </c>
      <c r="E43">
        <v>4891145</v>
      </c>
      <c r="F43">
        <v>3831381</v>
      </c>
      <c r="H43">
        <v>3942533</v>
      </c>
      <c r="I43">
        <v>7.6999999999999999E-2</v>
      </c>
      <c r="J43">
        <v>0.78333007915324526</v>
      </c>
      <c r="K43">
        <v>0.80605522837699561</v>
      </c>
      <c r="L43">
        <v>0.155</v>
      </c>
      <c r="M43">
        <v>3.7999999999999999E-2</v>
      </c>
      <c r="N43">
        <v>0.16300000000000001</v>
      </c>
      <c r="S43">
        <v>0.95299999999999996</v>
      </c>
      <c r="T43">
        <v>4.7E-2</v>
      </c>
      <c r="U43">
        <v>3684729</v>
      </c>
      <c r="V43">
        <v>111152</v>
      </c>
      <c r="W43">
        <v>2.8193042391782136E-2</v>
      </c>
      <c r="Y43">
        <v>2022</v>
      </c>
      <c r="Z43" t="s">
        <v>154</v>
      </c>
      <c r="AA43">
        <v>10368483</v>
      </c>
      <c r="AB43">
        <v>5165079</v>
      </c>
      <c r="AC43">
        <v>5203404</v>
      </c>
      <c r="AD43" t="str">
        <f>Labour_Master[[#This Row],[Year]] &amp; "-" &amp; Labour_Master[[#This Row],[Quarter]]</f>
        <v>2022-Q2</v>
      </c>
    </row>
    <row r="44" spans="1:30" x14ac:dyDescent="0.35">
      <c r="A44" t="s">
        <v>73</v>
      </c>
      <c r="B44" t="s">
        <v>64</v>
      </c>
      <c r="C44" t="s">
        <v>65</v>
      </c>
      <c r="D44" t="s">
        <v>74</v>
      </c>
      <c r="E44">
        <v>2325187</v>
      </c>
      <c r="F44">
        <v>1024340</v>
      </c>
      <c r="G44">
        <v>1087277</v>
      </c>
      <c r="H44">
        <v>1237910</v>
      </c>
      <c r="J44">
        <v>0.44054112206889173</v>
      </c>
      <c r="K44">
        <v>0.53239163129675171</v>
      </c>
      <c r="O44">
        <v>595192.80000000005</v>
      </c>
      <c r="P44">
        <v>429147.8</v>
      </c>
      <c r="Q44">
        <v>162308.1</v>
      </c>
      <c r="R44">
        <v>51262</v>
      </c>
      <c r="V44">
        <v>213570</v>
      </c>
      <c r="W44">
        <v>0.1725243295131044</v>
      </c>
      <c r="X44">
        <v>0.34667121627006675</v>
      </c>
      <c r="Y44">
        <v>2020</v>
      </c>
      <c r="Z44" t="s">
        <v>153</v>
      </c>
      <c r="AD44" t="str">
        <f>Labour_Master[[#This Row],[Year]] &amp; "-" &amp; Labour_Master[[#This Row],[Quarter]]</f>
        <v>2020-Q4</v>
      </c>
    </row>
    <row r="45" spans="1:30" x14ac:dyDescent="0.35">
      <c r="A45" t="s">
        <v>73</v>
      </c>
      <c r="B45" t="s">
        <v>64</v>
      </c>
      <c r="C45" t="s">
        <v>65</v>
      </c>
      <c r="D45" t="s">
        <v>74</v>
      </c>
      <c r="E45">
        <v>2670209</v>
      </c>
      <c r="F45">
        <v>2331771</v>
      </c>
      <c r="H45">
        <v>2370803</v>
      </c>
      <c r="I45">
        <v>0.05</v>
      </c>
      <c r="J45">
        <v>0.87325411606357406</v>
      </c>
      <c r="K45">
        <v>0.88787169843259461</v>
      </c>
      <c r="L45">
        <v>8.2000000000000003E-2</v>
      </c>
      <c r="M45">
        <v>2.8000000000000001E-2</v>
      </c>
      <c r="N45">
        <v>9.2999999999999999E-2</v>
      </c>
      <c r="S45">
        <v>0.95399999999999996</v>
      </c>
      <c r="T45">
        <v>4.5999999999999999E-2</v>
      </c>
      <c r="U45">
        <v>2283144</v>
      </c>
      <c r="V45">
        <v>39032</v>
      </c>
      <c r="W45">
        <v>1.646362013208183E-2</v>
      </c>
      <c r="Y45">
        <v>2022</v>
      </c>
      <c r="Z45" t="s">
        <v>154</v>
      </c>
      <c r="AA45">
        <v>5563907</v>
      </c>
      <c r="AB45">
        <v>2734447</v>
      </c>
      <c r="AC45">
        <v>2829460</v>
      </c>
      <c r="AD45" t="str">
        <f>Labour_Master[[#This Row],[Year]] &amp; "-" &amp; Labour_Master[[#This Row],[Quarter]]</f>
        <v>2022-Q2</v>
      </c>
    </row>
    <row r="46" spans="1:30" x14ac:dyDescent="0.35">
      <c r="A46" t="s">
        <v>75</v>
      </c>
      <c r="B46" t="s">
        <v>38</v>
      </c>
      <c r="C46" t="s">
        <v>39</v>
      </c>
      <c r="D46" t="s">
        <v>76</v>
      </c>
      <c r="E46">
        <v>3441831</v>
      </c>
      <c r="F46">
        <v>1210684</v>
      </c>
      <c r="G46">
        <v>1457949</v>
      </c>
      <c r="H46">
        <v>1983882</v>
      </c>
      <c r="J46">
        <v>0.35175577787006718</v>
      </c>
      <c r="K46">
        <v>0.57640315011436061</v>
      </c>
      <c r="O46">
        <v>639055.99</v>
      </c>
      <c r="P46">
        <v>571627.77</v>
      </c>
      <c r="Q46">
        <v>324120</v>
      </c>
      <c r="R46">
        <v>449078</v>
      </c>
      <c r="V46">
        <v>773198</v>
      </c>
      <c r="W46">
        <v>0.3897400147791048</v>
      </c>
      <c r="X46">
        <v>0.28813597280483416</v>
      </c>
      <c r="Y46">
        <v>2020</v>
      </c>
      <c r="Z46" t="s">
        <v>153</v>
      </c>
      <c r="AD46" t="str">
        <f>Labour_Master[[#This Row],[Year]] &amp; "-" &amp; Labour_Master[[#This Row],[Quarter]]</f>
        <v>2020-Q4</v>
      </c>
    </row>
    <row r="47" spans="1:30" x14ac:dyDescent="0.35">
      <c r="A47" t="s">
        <v>75</v>
      </c>
      <c r="B47" t="s">
        <v>38</v>
      </c>
      <c r="C47" t="s">
        <v>39</v>
      </c>
      <c r="D47" t="s">
        <v>76</v>
      </c>
      <c r="E47">
        <v>2583427</v>
      </c>
      <c r="F47">
        <v>1655974</v>
      </c>
      <c r="H47">
        <v>1707990</v>
      </c>
      <c r="I47">
        <v>0.19600000000000001</v>
      </c>
      <c r="J47">
        <v>0.64099895216702463</v>
      </c>
      <c r="K47">
        <v>0.66113344793562967</v>
      </c>
      <c r="L47">
        <v>0.111</v>
      </c>
      <c r="M47">
        <v>0.13300000000000001</v>
      </c>
      <c r="N47">
        <v>0.20499999999999999</v>
      </c>
      <c r="S47">
        <v>0.85099999999999998</v>
      </c>
      <c r="T47">
        <v>0.14899999999999999</v>
      </c>
      <c r="U47">
        <v>1542906</v>
      </c>
      <c r="V47">
        <v>52016</v>
      </c>
      <c r="W47">
        <v>3.0454510857791908E-2</v>
      </c>
      <c r="Y47">
        <v>2022</v>
      </c>
      <c r="Z47" t="s">
        <v>154</v>
      </c>
      <c r="AA47">
        <v>4466801</v>
      </c>
      <c r="AB47">
        <v>2219653</v>
      </c>
      <c r="AC47">
        <v>2247148</v>
      </c>
      <c r="AD47" t="str">
        <f>Labour_Master[[#This Row],[Year]] &amp; "-" &amp; Labour_Master[[#This Row],[Quarter]]</f>
        <v>2022-Q2</v>
      </c>
    </row>
    <row r="48" spans="1:30" x14ac:dyDescent="0.35">
      <c r="A48" t="s">
        <v>77</v>
      </c>
      <c r="B48" t="s">
        <v>38</v>
      </c>
      <c r="C48" t="s">
        <v>39</v>
      </c>
      <c r="D48" t="s">
        <v>78</v>
      </c>
      <c r="E48">
        <v>2009452</v>
      </c>
      <c r="F48">
        <v>1216801</v>
      </c>
      <c r="G48">
        <v>551301</v>
      </c>
      <c r="H48">
        <v>1458151</v>
      </c>
      <c r="J48">
        <v>0.6055387452745189</v>
      </c>
      <c r="K48">
        <v>0.72564607804667103</v>
      </c>
      <c r="O48">
        <v>937370.9</v>
      </c>
      <c r="P48">
        <v>279429.8</v>
      </c>
      <c r="Q48">
        <v>33830.660000000003</v>
      </c>
      <c r="R48">
        <v>207519</v>
      </c>
      <c r="V48">
        <v>241350</v>
      </c>
      <c r="W48">
        <v>0.16551778670872541</v>
      </c>
      <c r="X48">
        <v>0.19163301787894885</v>
      </c>
      <c r="Y48">
        <v>2020</v>
      </c>
      <c r="Z48" t="s">
        <v>153</v>
      </c>
      <c r="AD48" t="str">
        <f>Labour_Master[[#This Row],[Year]] &amp; "-" &amp; Labour_Master[[#This Row],[Quarter]]</f>
        <v>2020-Q4</v>
      </c>
    </row>
    <row r="49" spans="1:30" x14ac:dyDescent="0.35">
      <c r="A49" t="s">
        <v>77</v>
      </c>
      <c r="B49" t="s">
        <v>38</v>
      </c>
      <c r="C49" t="s">
        <v>39</v>
      </c>
      <c r="D49" t="s">
        <v>78</v>
      </c>
      <c r="E49">
        <v>1998429</v>
      </c>
      <c r="F49">
        <v>1453908</v>
      </c>
      <c r="H49">
        <v>1526907</v>
      </c>
      <c r="I49">
        <v>0.127</v>
      </c>
      <c r="J49">
        <v>0.72752547125767286</v>
      </c>
      <c r="K49">
        <v>0.76405366415319231</v>
      </c>
      <c r="L49">
        <v>0.156</v>
      </c>
      <c r="M49">
        <v>7.0999999999999994E-2</v>
      </c>
      <c r="N49">
        <v>0.17699999999999999</v>
      </c>
      <c r="S49">
        <v>0.81299999999999994</v>
      </c>
      <c r="T49">
        <v>0.187</v>
      </c>
      <c r="U49">
        <v>1290673</v>
      </c>
      <c r="V49">
        <v>73000</v>
      </c>
      <c r="W49">
        <v>4.7809067611845384E-2</v>
      </c>
      <c r="Y49">
        <v>2022</v>
      </c>
      <c r="Z49" t="s">
        <v>154</v>
      </c>
      <c r="AA49">
        <v>3551023</v>
      </c>
      <c r="AB49">
        <v>1759073</v>
      </c>
      <c r="AC49">
        <v>1791950</v>
      </c>
      <c r="AD49" t="str">
        <f>Labour_Master[[#This Row],[Year]] &amp; "-" &amp; Labour_Master[[#This Row],[Quarter]]</f>
        <v>2022-Q2</v>
      </c>
    </row>
    <row r="50" spans="1:30" x14ac:dyDescent="0.35">
      <c r="A50" t="s">
        <v>79</v>
      </c>
      <c r="B50" t="s">
        <v>52</v>
      </c>
      <c r="C50" t="s">
        <v>53</v>
      </c>
      <c r="D50" t="s">
        <v>80</v>
      </c>
      <c r="E50">
        <v>9073494</v>
      </c>
      <c r="F50">
        <v>3124884</v>
      </c>
      <c r="G50">
        <v>4102006</v>
      </c>
      <c r="H50">
        <v>4971488</v>
      </c>
      <c r="J50">
        <v>0.34439696512511175</v>
      </c>
      <c r="K50">
        <v>0.54791326644686378</v>
      </c>
      <c r="O50">
        <v>2900094.1</v>
      </c>
      <c r="P50">
        <v>224789.8</v>
      </c>
      <c r="Q50">
        <v>312787.8</v>
      </c>
      <c r="R50">
        <v>1533816</v>
      </c>
      <c r="V50">
        <v>1846604</v>
      </c>
      <c r="W50">
        <v>0.37143890061564866</v>
      </c>
      <c r="X50">
        <v>4.5215799479266551E-2</v>
      </c>
      <c r="Y50">
        <v>2020</v>
      </c>
      <c r="Z50" t="s">
        <v>153</v>
      </c>
      <c r="AD50" t="str">
        <f>Labour_Master[[#This Row],[Year]] &amp; "-" &amp; Labour_Master[[#This Row],[Quarter]]</f>
        <v>2020-Q4</v>
      </c>
    </row>
    <row r="51" spans="1:30" x14ac:dyDescent="0.35">
      <c r="A51" t="s">
        <v>79</v>
      </c>
      <c r="B51" t="s">
        <v>52</v>
      </c>
      <c r="C51" t="s">
        <v>53</v>
      </c>
      <c r="D51" t="s">
        <v>80</v>
      </c>
      <c r="E51">
        <v>8659260</v>
      </c>
      <c r="F51">
        <v>6076248</v>
      </c>
      <c r="H51">
        <v>6432653</v>
      </c>
      <c r="I51">
        <v>0.151</v>
      </c>
      <c r="J51">
        <v>0.70170522654360767</v>
      </c>
      <c r="K51">
        <v>0.74286405535807909</v>
      </c>
      <c r="L51">
        <v>9.7000000000000003E-2</v>
      </c>
      <c r="M51">
        <v>6.4000000000000001E-2</v>
      </c>
      <c r="N51">
        <v>0.105</v>
      </c>
      <c r="S51">
        <v>0.66200000000000003</v>
      </c>
      <c r="T51">
        <v>0.33800000000000002</v>
      </c>
      <c r="U51">
        <v>4633957</v>
      </c>
      <c r="V51">
        <v>356405</v>
      </c>
      <c r="W51">
        <v>5.5405600146626904E-2</v>
      </c>
      <c r="Y51">
        <v>2022</v>
      </c>
      <c r="Z51" t="s">
        <v>154</v>
      </c>
      <c r="AA51">
        <v>13491804</v>
      </c>
      <c r="AB51">
        <v>6949233</v>
      </c>
      <c r="AC51">
        <v>6542571</v>
      </c>
      <c r="AD51" t="str">
        <f>Labour_Master[[#This Row],[Year]] &amp; "-" &amp; Labour_Master[[#This Row],[Quarter]]</f>
        <v>2022-Q2</v>
      </c>
    </row>
    <row r="52" spans="1:30" x14ac:dyDescent="0.35">
      <c r="A52" t="s">
        <v>81</v>
      </c>
      <c r="B52" t="s">
        <v>38</v>
      </c>
      <c r="C52" t="s">
        <v>39</v>
      </c>
      <c r="D52" t="s">
        <v>82</v>
      </c>
      <c r="E52">
        <v>1734667</v>
      </c>
      <c r="F52">
        <v>773769</v>
      </c>
      <c r="G52">
        <v>631970</v>
      </c>
      <c r="H52">
        <v>1102696</v>
      </c>
      <c r="J52">
        <v>0.44606220007925435</v>
      </c>
      <c r="K52">
        <v>0.63568192297009685</v>
      </c>
      <c r="O52">
        <v>431275.6</v>
      </c>
      <c r="P52">
        <v>342493.7</v>
      </c>
      <c r="Q52">
        <v>224751.5</v>
      </c>
      <c r="R52">
        <v>104176</v>
      </c>
      <c r="V52">
        <v>328927</v>
      </c>
      <c r="W52">
        <v>0.29829340121059639</v>
      </c>
      <c r="X52">
        <v>0.31059660856725546</v>
      </c>
      <c r="Y52">
        <v>2020</v>
      </c>
      <c r="Z52" t="s">
        <v>153</v>
      </c>
      <c r="AD52" t="str">
        <f>Labour_Master[[#This Row],[Year]] &amp; "-" &amp; Labour_Master[[#This Row],[Quarter]]</f>
        <v>2020-Q4</v>
      </c>
    </row>
    <row r="53" spans="1:30" x14ac:dyDescent="0.35">
      <c r="A53" t="s">
        <v>81</v>
      </c>
      <c r="B53" t="s">
        <v>38</v>
      </c>
      <c r="C53" t="s">
        <v>39</v>
      </c>
      <c r="D53" t="s">
        <v>82</v>
      </c>
      <c r="E53">
        <v>1637510</v>
      </c>
      <c r="F53">
        <v>1366044</v>
      </c>
      <c r="H53">
        <v>1372762</v>
      </c>
      <c r="I53">
        <v>7.3999999999999996E-2</v>
      </c>
      <c r="J53">
        <v>0.83422024903664715</v>
      </c>
      <c r="K53">
        <v>0.83832281940262965</v>
      </c>
      <c r="L53">
        <v>8.0000000000000002E-3</v>
      </c>
      <c r="M53">
        <v>7.0000000000000001E-3</v>
      </c>
      <c r="N53">
        <v>0.01</v>
      </c>
      <c r="S53">
        <v>0.86799999999999999</v>
      </c>
      <c r="T53">
        <v>0.13200000000000001</v>
      </c>
      <c r="U53">
        <v>1242455</v>
      </c>
      <c r="V53">
        <v>6718</v>
      </c>
      <c r="W53">
        <v>4.8937834817688718E-3</v>
      </c>
      <c r="Y53">
        <v>2022</v>
      </c>
      <c r="Z53" t="s">
        <v>154</v>
      </c>
      <c r="AA53">
        <v>2886022</v>
      </c>
      <c r="AB53">
        <v>1422557</v>
      </c>
      <c r="AC53">
        <v>1463465</v>
      </c>
      <c r="AD53" t="str">
        <f>Labour_Master[[#This Row],[Year]] &amp; "-" &amp; Labour_Master[[#This Row],[Quarter]]</f>
        <v>2022-Q2</v>
      </c>
    </row>
    <row r="54" spans="1:30" x14ac:dyDescent="0.35">
      <c r="A54" t="s">
        <v>83</v>
      </c>
      <c r="B54" t="s">
        <v>38</v>
      </c>
      <c r="C54" t="s">
        <v>39</v>
      </c>
      <c r="D54" t="s">
        <v>84</v>
      </c>
      <c r="E54">
        <v>3294104</v>
      </c>
      <c r="F54">
        <v>1050665</v>
      </c>
      <c r="G54">
        <v>1577275</v>
      </c>
      <c r="H54">
        <v>1716829</v>
      </c>
      <c r="J54">
        <v>0.31895311153607914</v>
      </c>
      <c r="K54">
        <v>0.52118234257595653</v>
      </c>
      <c r="O54">
        <v>648163.80000000005</v>
      </c>
      <c r="P54">
        <v>402501.1</v>
      </c>
      <c r="Q54">
        <v>506790.3</v>
      </c>
      <c r="R54">
        <v>159374</v>
      </c>
      <c r="V54">
        <v>666164</v>
      </c>
      <c r="W54">
        <v>0.3880201121940442</v>
      </c>
      <c r="X54">
        <v>0.23444447673912328</v>
      </c>
      <c r="Y54">
        <v>2020</v>
      </c>
      <c r="Z54" t="s">
        <v>153</v>
      </c>
      <c r="AD54" t="str">
        <f>Labour_Master[[#This Row],[Year]] &amp; "-" &amp; Labour_Master[[#This Row],[Quarter]]</f>
        <v>2020-Q4</v>
      </c>
    </row>
    <row r="55" spans="1:30" x14ac:dyDescent="0.35">
      <c r="A55" t="s">
        <v>83</v>
      </c>
      <c r="B55" t="s">
        <v>38</v>
      </c>
      <c r="C55" t="s">
        <v>39</v>
      </c>
      <c r="D55" t="s">
        <v>84</v>
      </c>
      <c r="E55">
        <v>3140561</v>
      </c>
      <c r="F55">
        <v>2650794</v>
      </c>
      <c r="H55">
        <v>2737148</v>
      </c>
      <c r="I55">
        <v>0.106</v>
      </c>
      <c r="J55">
        <v>0.84405111061367699</v>
      </c>
      <c r="K55">
        <v>0.87154747193256232</v>
      </c>
      <c r="L55">
        <v>0.13300000000000001</v>
      </c>
      <c r="M55">
        <v>0.04</v>
      </c>
      <c r="N55">
        <v>0.14099999999999999</v>
      </c>
      <c r="S55">
        <v>0.95</v>
      </c>
      <c r="T55">
        <v>0.05</v>
      </c>
      <c r="U55">
        <v>2570746</v>
      </c>
      <c r="V55">
        <v>86354</v>
      </c>
      <c r="W55">
        <v>3.1548896880987068E-2</v>
      </c>
      <c r="Y55">
        <v>2022</v>
      </c>
      <c r="Z55" t="s">
        <v>154</v>
      </c>
      <c r="AA55">
        <v>6783325</v>
      </c>
      <c r="AB55">
        <v>3356404</v>
      </c>
      <c r="AC55">
        <v>3426921</v>
      </c>
      <c r="AD55" t="str">
        <f>Labour_Master[[#This Row],[Year]] &amp; "-" &amp; Labour_Master[[#This Row],[Quarter]]</f>
        <v>2022-Q2</v>
      </c>
    </row>
    <row r="56" spans="1:30" x14ac:dyDescent="0.35">
      <c r="A56" t="s">
        <v>85</v>
      </c>
      <c r="B56" t="s">
        <v>52</v>
      </c>
      <c r="C56" t="s">
        <v>53</v>
      </c>
      <c r="D56" t="s">
        <v>86</v>
      </c>
      <c r="E56">
        <v>3724656</v>
      </c>
      <c r="F56">
        <v>1982672</v>
      </c>
      <c r="G56">
        <v>1354082</v>
      </c>
      <c r="H56">
        <v>2370574</v>
      </c>
      <c r="J56">
        <v>0.53231007452071544</v>
      </c>
      <c r="K56">
        <v>0.6364545758270912</v>
      </c>
      <c r="O56">
        <v>1748591.6</v>
      </c>
      <c r="P56">
        <v>234080.1</v>
      </c>
      <c r="Q56">
        <v>100849.60000000001</v>
      </c>
      <c r="R56">
        <v>287053</v>
      </c>
      <c r="V56">
        <v>387902</v>
      </c>
      <c r="W56">
        <v>0.16363226106283707</v>
      </c>
      <c r="X56">
        <v>9.8744055290235389E-2</v>
      </c>
      <c r="Y56">
        <v>2020</v>
      </c>
      <c r="Z56" t="s">
        <v>153</v>
      </c>
      <c r="AD56" t="str">
        <f>Labour_Master[[#This Row],[Year]] &amp; "-" &amp; Labour_Master[[#This Row],[Quarter]]</f>
        <v>2020-Q4</v>
      </c>
    </row>
    <row r="57" spans="1:30" x14ac:dyDescent="0.35">
      <c r="A57" t="s">
        <v>85</v>
      </c>
      <c r="B57" t="s">
        <v>52</v>
      </c>
      <c r="C57" t="s">
        <v>53</v>
      </c>
      <c r="D57" t="s">
        <v>86</v>
      </c>
      <c r="E57">
        <v>3907098</v>
      </c>
      <c r="F57">
        <v>2713286</v>
      </c>
      <c r="H57">
        <v>2976001</v>
      </c>
      <c r="I57">
        <v>0.224</v>
      </c>
      <c r="J57">
        <v>0.69445045913872649</v>
      </c>
      <c r="K57">
        <v>0.76169090204545675</v>
      </c>
      <c r="L57">
        <v>0.122</v>
      </c>
      <c r="M57">
        <v>0.104</v>
      </c>
      <c r="N57">
        <v>0.13700000000000001</v>
      </c>
      <c r="S57">
        <v>0.80600000000000005</v>
      </c>
      <c r="T57">
        <v>0.19400000000000001</v>
      </c>
      <c r="U57">
        <v>2244435</v>
      </c>
      <c r="V57">
        <v>262715</v>
      </c>
      <c r="W57">
        <v>8.8277860121686785E-2</v>
      </c>
      <c r="Y57">
        <v>2022</v>
      </c>
      <c r="Z57" t="s">
        <v>154</v>
      </c>
      <c r="AA57">
        <v>6379532</v>
      </c>
      <c r="AB57">
        <v>3146947</v>
      </c>
      <c r="AC57">
        <v>3232585</v>
      </c>
      <c r="AD57" t="str">
        <f>Labour_Master[[#This Row],[Year]] &amp; "-" &amp; Labour_Master[[#This Row],[Quarter]]</f>
        <v>2022-Q2</v>
      </c>
    </row>
    <row r="58" spans="1:30" x14ac:dyDescent="0.35">
      <c r="A58" t="s">
        <v>87</v>
      </c>
      <c r="B58" t="s">
        <v>52</v>
      </c>
      <c r="C58" t="s">
        <v>53</v>
      </c>
      <c r="D58" t="s">
        <v>88</v>
      </c>
      <c r="E58">
        <v>3391766</v>
      </c>
      <c r="F58">
        <v>2069381</v>
      </c>
      <c r="G58">
        <v>895848</v>
      </c>
      <c r="H58">
        <v>2495918</v>
      </c>
      <c r="J58">
        <v>0.61011901883785846</v>
      </c>
      <c r="K58">
        <v>0.73587564541606298</v>
      </c>
      <c r="O58">
        <v>1466285.9</v>
      </c>
      <c r="P58">
        <v>603094.80000000005</v>
      </c>
      <c r="Q58">
        <v>212415.5</v>
      </c>
      <c r="R58">
        <v>214122</v>
      </c>
      <c r="V58">
        <v>426537</v>
      </c>
      <c r="W58">
        <v>0.17089385599533188</v>
      </c>
      <c r="X58">
        <v>0.24163248651988806</v>
      </c>
      <c r="Y58">
        <v>2020</v>
      </c>
      <c r="Z58" t="s">
        <v>153</v>
      </c>
      <c r="AD58" t="str">
        <f>Labour_Master[[#This Row],[Year]] &amp; "-" &amp; Labour_Master[[#This Row],[Quarter]]</f>
        <v>2020-Q4</v>
      </c>
    </row>
    <row r="59" spans="1:30" x14ac:dyDescent="0.35">
      <c r="A59" t="s">
        <v>87</v>
      </c>
      <c r="B59" t="s">
        <v>52</v>
      </c>
      <c r="C59" t="s">
        <v>53</v>
      </c>
      <c r="D59" t="s">
        <v>88</v>
      </c>
      <c r="E59">
        <v>3143947</v>
      </c>
      <c r="F59">
        <v>2185675</v>
      </c>
      <c r="H59">
        <v>2318167</v>
      </c>
      <c r="I59">
        <v>0.21099999999999999</v>
      </c>
      <c r="J59">
        <v>0.69520096871862025</v>
      </c>
      <c r="K59">
        <v>0.73734290050054918</v>
      </c>
      <c r="L59">
        <v>9.9000000000000005E-2</v>
      </c>
      <c r="M59">
        <v>6.8000000000000005E-2</v>
      </c>
      <c r="N59">
        <v>0.11</v>
      </c>
      <c r="S59">
        <v>0.85</v>
      </c>
      <c r="T59">
        <v>0.15</v>
      </c>
      <c r="U59">
        <v>2014129</v>
      </c>
      <c r="V59">
        <v>132492</v>
      </c>
      <c r="W59">
        <v>5.7153777100614409E-2</v>
      </c>
      <c r="Y59">
        <v>2022</v>
      </c>
      <c r="Z59" t="s">
        <v>154</v>
      </c>
      <c r="AA59">
        <v>5316603</v>
      </c>
      <c r="AB59">
        <v>2645721</v>
      </c>
      <c r="AC59">
        <v>2670882</v>
      </c>
      <c r="AD59" t="str">
        <f>Labour_Master[[#This Row],[Year]] &amp; "-" &amp; Labour_Master[[#This Row],[Quarter]]</f>
        <v>2022-Q2</v>
      </c>
    </row>
    <row r="60" spans="1:30" x14ac:dyDescent="0.35">
      <c r="A60" t="s">
        <v>89</v>
      </c>
      <c r="B60" t="s">
        <v>52</v>
      </c>
      <c r="C60" t="s">
        <v>53</v>
      </c>
      <c r="D60" t="s">
        <v>90</v>
      </c>
      <c r="E60">
        <v>3070422</v>
      </c>
      <c r="F60">
        <v>1631924</v>
      </c>
      <c r="G60">
        <v>1223218</v>
      </c>
      <c r="H60">
        <v>1847204</v>
      </c>
      <c r="J60">
        <v>0.53149811346797471</v>
      </c>
      <c r="K60">
        <v>0.60161252085747297</v>
      </c>
      <c r="O60">
        <v>1157580.1000000001</v>
      </c>
      <c r="P60">
        <v>474343.5</v>
      </c>
      <c r="Q60">
        <v>159017.9</v>
      </c>
      <c r="R60">
        <v>56263</v>
      </c>
      <c r="V60">
        <v>215281</v>
      </c>
      <c r="W60">
        <v>0.11654412925044304</v>
      </c>
      <c r="X60">
        <v>0.25678992228526942</v>
      </c>
      <c r="Y60">
        <v>2020</v>
      </c>
      <c r="Z60" t="s">
        <v>153</v>
      </c>
      <c r="AD60" t="str">
        <f>Labour_Master[[#This Row],[Year]] &amp; "-" &amp; Labour_Master[[#This Row],[Quarter]]</f>
        <v>2020-Q4</v>
      </c>
    </row>
    <row r="61" spans="1:30" x14ac:dyDescent="0.35">
      <c r="A61" t="s">
        <v>89</v>
      </c>
      <c r="B61" t="s">
        <v>52</v>
      </c>
      <c r="C61" t="s">
        <v>53</v>
      </c>
      <c r="D61" t="s">
        <v>90</v>
      </c>
      <c r="E61">
        <v>2624064</v>
      </c>
      <c r="F61">
        <v>1949368</v>
      </c>
      <c r="H61">
        <v>2007786</v>
      </c>
      <c r="I61">
        <v>0.20499999999999999</v>
      </c>
      <c r="J61">
        <v>0.74288127118850755</v>
      </c>
      <c r="K61">
        <v>0.76514368551986534</v>
      </c>
      <c r="L61">
        <v>7.0999999999999994E-2</v>
      </c>
      <c r="M61">
        <v>4.2000000000000003E-2</v>
      </c>
      <c r="N61">
        <v>8.4000000000000005E-2</v>
      </c>
      <c r="S61">
        <v>0.87</v>
      </c>
      <c r="T61">
        <v>0.13</v>
      </c>
      <c r="U61">
        <v>1837448</v>
      </c>
      <c r="V61">
        <v>58417</v>
      </c>
      <c r="W61">
        <v>2.9095232260808672E-2</v>
      </c>
      <c r="Y61">
        <v>2022</v>
      </c>
      <c r="Z61" t="s">
        <v>154</v>
      </c>
      <c r="AA61">
        <v>4435803</v>
      </c>
      <c r="AB61">
        <v>2215842</v>
      </c>
      <c r="AC61">
        <v>2219961</v>
      </c>
      <c r="AD61" t="str">
        <f>Labour_Master[[#This Row],[Year]] &amp; "-" &amp; Labour_Master[[#This Row],[Quarter]]</f>
        <v>2022-Q2</v>
      </c>
    </row>
    <row r="62" spans="1:30" x14ac:dyDescent="0.35">
      <c r="A62" t="s">
        <v>91</v>
      </c>
      <c r="B62" t="s">
        <v>52</v>
      </c>
      <c r="C62" t="s">
        <v>53</v>
      </c>
      <c r="D62" t="s">
        <v>92</v>
      </c>
      <c r="E62">
        <v>4802195</v>
      </c>
      <c r="F62">
        <v>2718932</v>
      </c>
      <c r="G62">
        <v>1486934</v>
      </c>
      <c r="H62">
        <v>3315261</v>
      </c>
      <c r="J62">
        <v>0.56618523404401522</v>
      </c>
      <c r="K62">
        <v>0.69036367744333582</v>
      </c>
      <c r="O62">
        <v>2067689.6</v>
      </c>
      <c r="P62">
        <v>651242.19999999995</v>
      </c>
      <c r="Q62">
        <v>339338.1</v>
      </c>
      <c r="R62">
        <v>256991</v>
      </c>
      <c r="V62">
        <v>596329</v>
      </c>
      <c r="W62">
        <v>0.17987395260885944</v>
      </c>
      <c r="X62">
        <v>0.19643768620328836</v>
      </c>
      <c r="Y62">
        <v>2020</v>
      </c>
      <c r="Z62" t="s">
        <v>153</v>
      </c>
      <c r="AD62" t="str">
        <f>Labour_Master[[#This Row],[Year]] &amp; "-" &amp; Labour_Master[[#This Row],[Quarter]]</f>
        <v>2020-Q4</v>
      </c>
    </row>
    <row r="63" spans="1:30" x14ac:dyDescent="0.35">
      <c r="A63" t="s">
        <v>91</v>
      </c>
      <c r="B63" t="s">
        <v>52</v>
      </c>
      <c r="C63" t="s">
        <v>53</v>
      </c>
      <c r="D63" t="s">
        <v>92</v>
      </c>
      <c r="E63">
        <v>4929127</v>
      </c>
      <c r="F63">
        <v>3876960</v>
      </c>
      <c r="H63">
        <v>3958014</v>
      </c>
      <c r="I63">
        <v>7.0000000000000007E-2</v>
      </c>
      <c r="J63">
        <v>0.78654090267911536</v>
      </c>
      <c r="K63">
        <v>0.80298478817851515</v>
      </c>
      <c r="L63">
        <v>7.6999999999999999E-2</v>
      </c>
      <c r="M63">
        <v>3.3000000000000002E-2</v>
      </c>
      <c r="N63">
        <v>8.7999999999999995E-2</v>
      </c>
      <c r="S63">
        <v>0.73299999999999998</v>
      </c>
      <c r="T63">
        <v>0.26700000000000002</v>
      </c>
      <c r="U63">
        <v>3587437</v>
      </c>
      <c r="V63">
        <v>81054</v>
      </c>
      <c r="W63">
        <v>2.047845207217559E-2</v>
      </c>
      <c r="Y63">
        <v>2022</v>
      </c>
      <c r="Z63" t="s">
        <v>154</v>
      </c>
      <c r="AA63">
        <v>7976081</v>
      </c>
      <c r="AB63">
        <v>3956035</v>
      </c>
      <c r="AC63">
        <v>4020046</v>
      </c>
      <c r="AD63" t="str">
        <f>Labour_Master[[#This Row],[Year]] &amp; "-" &amp; Labour_Master[[#This Row],[Quarter]]</f>
        <v>2022-Q2</v>
      </c>
    </row>
    <row r="64" spans="1:30" x14ac:dyDescent="0.35">
      <c r="A64" t="s">
        <v>93</v>
      </c>
      <c r="B64" t="s">
        <v>38</v>
      </c>
      <c r="C64" t="s">
        <v>39</v>
      </c>
      <c r="D64" t="s">
        <v>94</v>
      </c>
      <c r="E64">
        <v>2690344</v>
      </c>
      <c r="F64">
        <v>943021</v>
      </c>
      <c r="G64">
        <v>1405770</v>
      </c>
      <c r="H64">
        <v>1284574</v>
      </c>
      <c r="J64">
        <v>0.35052074205394218</v>
      </c>
      <c r="K64">
        <v>0.4774757944478093</v>
      </c>
      <c r="O64">
        <v>607156.9</v>
      </c>
      <c r="P64">
        <v>335864.3</v>
      </c>
      <c r="Q64">
        <v>187380.9</v>
      </c>
      <c r="R64">
        <v>154172</v>
      </c>
      <c r="V64">
        <v>341553</v>
      </c>
      <c r="W64">
        <v>0.26588793373429115</v>
      </c>
      <c r="X64">
        <v>0.26145969492296239</v>
      </c>
      <c r="Y64">
        <v>2020</v>
      </c>
      <c r="Z64" t="s">
        <v>153</v>
      </c>
      <c r="AD64" t="str">
        <f>Labour_Master[[#This Row],[Year]] &amp; "-" &amp; Labour_Master[[#This Row],[Quarter]]</f>
        <v>2020-Q4</v>
      </c>
    </row>
    <row r="65" spans="1:30" x14ac:dyDescent="0.35">
      <c r="A65" t="s">
        <v>93</v>
      </c>
      <c r="B65" t="s">
        <v>38</v>
      </c>
      <c r="C65" t="s">
        <v>39</v>
      </c>
      <c r="D65" t="s">
        <v>94</v>
      </c>
      <c r="E65">
        <v>2414610</v>
      </c>
      <c r="F65">
        <v>1919762</v>
      </c>
      <c r="H65">
        <v>2072704</v>
      </c>
      <c r="I65">
        <v>0.107</v>
      </c>
      <c r="J65">
        <v>0.79506090010395059</v>
      </c>
      <c r="K65">
        <v>0.85840114966806236</v>
      </c>
      <c r="L65">
        <v>0.38800000000000001</v>
      </c>
      <c r="M65">
        <v>0.123</v>
      </c>
      <c r="N65">
        <v>0.42</v>
      </c>
      <c r="S65">
        <v>0.79400000000000004</v>
      </c>
      <c r="T65">
        <v>0.20599999999999999</v>
      </c>
      <c r="U65">
        <v>1823885</v>
      </c>
      <c r="V65">
        <v>152942</v>
      </c>
      <c r="W65">
        <v>7.3788635521521651E-2</v>
      </c>
      <c r="Y65">
        <v>2022</v>
      </c>
      <c r="Z65" t="s">
        <v>154</v>
      </c>
      <c r="AA65">
        <v>4717305</v>
      </c>
      <c r="AB65">
        <v>2308911</v>
      </c>
      <c r="AC65">
        <v>2408394</v>
      </c>
      <c r="AD65" t="str">
        <f>Labour_Master[[#This Row],[Year]] &amp; "-" &amp; Labour_Master[[#This Row],[Quarter]]</f>
        <v>2022-Q2</v>
      </c>
    </row>
    <row r="66" spans="1:30" x14ac:dyDescent="0.35">
      <c r="A66" t="s">
        <v>95</v>
      </c>
      <c r="B66" t="s">
        <v>28</v>
      </c>
      <c r="C66" t="s">
        <v>29</v>
      </c>
      <c r="D66" t="s">
        <v>96</v>
      </c>
      <c r="E66">
        <v>5351856</v>
      </c>
      <c r="F66">
        <v>2301520</v>
      </c>
      <c r="G66">
        <v>1411415</v>
      </c>
      <c r="H66">
        <v>3940441</v>
      </c>
      <c r="J66">
        <v>0.4300414981301065</v>
      </c>
      <c r="K66">
        <v>0.73627558262222181</v>
      </c>
      <c r="O66">
        <v>1606693.4</v>
      </c>
      <c r="P66">
        <v>694826.6</v>
      </c>
      <c r="Q66">
        <v>663477.80000000005</v>
      </c>
      <c r="R66">
        <v>975443</v>
      </c>
      <c r="V66">
        <v>1638921</v>
      </c>
      <c r="W66">
        <v>0.41592318381858112</v>
      </c>
      <c r="X66">
        <v>0.17633221015944256</v>
      </c>
      <c r="Y66">
        <v>2020</v>
      </c>
      <c r="Z66" t="s">
        <v>153</v>
      </c>
      <c r="AD66" t="str">
        <f>Labour_Master[[#This Row],[Year]] &amp; "-" &amp; Labour_Master[[#This Row],[Quarter]]</f>
        <v>2020-Q4</v>
      </c>
    </row>
    <row r="67" spans="1:30" x14ac:dyDescent="0.35">
      <c r="A67" t="s">
        <v>95</v>
      </c>
      <c r="B67" t="s">
        <v>28</v>
      </c>
      <c r="C67" t="s">
        <v>29</v>
      </c>
      <c r="D67" t="s">
        <v>96</v>
      </c>
      <c r="E67">
        <v>4675589</v>
      </c>
      <c r="F67">
        <v>2603666</v>
      </c>
      <c r="H67">
        <v>3007028</v>
      </c>
      <c r="I67">
        <v>0.36</v>
      </c>
      <c r="J67">
        <v>0.55686374486722423</v>
      </c>
      <c r="K67">
        <v>0.64313351750977255</v>
      </c>
      <c r="L67">
        <v>0.17799999999999999</v>
      </c>
      <c r="M67">
        <v>0.158</v>
      </c>
      <c r="N67">
        <v>0.20100000000000001</v>
      </c>
      <c r="S67">
        <v>0.73499999999999999</v>
      </c>
      <c r="T67">
        <v>0.26500000000000001</v>
      </c>
      <c r="U67">
        <v>2267303</v>
      </c>
      <c r="V67">
        <v>403361</v>
      </c>
      <c r="W67">
        <v>0.13413942271239243</v>
      </c>
      <c r="Y67">
        <v>2022</v>
      </c>
      <c r="Z67" t="s">
        <v>154</v>
      </c>
      <c r="AA67">
        <v>7476805</v>
      </c>
      <c r="AB67">
        <v>3791238</v>
      </c>
      <c r="AC67">
        <v>3685567</v>
      </c>
      <c r="AD67" t="str">
        <f>Labour_Master[[#This Row],[Year]] &amp; "-" &amp; Labour_Master[[#This Row],[Quarter]]</f>
        <v>2022-Q2</v>
      </c>
    </row>
    <row r="68" spans="1:30" x14ac:dyDescent="0.35">
      <c r="A68" t="s">
        <v>97</v>
      </c>
      <c r="B68" t="s">
        <v>64</v>
      </c>
      <c r="C68" t="s">
        <v>65</v>
      </c>
      <c r="D68" t="s">
        <v>98</v>
      </c>
      <c r="E68">
        <v>2706802</v>
      </c>
      <c r="F68">
        <v>958978</v>
      </c>
      <c r="G68">
        <v>1585475</v>
      </c>
      <c r="H68">
        <v>1121328</v>
      </c>
      <c r="J68">
        <v>0.35428461441128423</v>
      </c>
      <c r="K68">
        <v>0.4142628063924132</v>
      </c>
      <c r="O68">
        <v>743910.5</v>
      </c>
      <c r="P68">
        <v>215067.9</v>
      </c>
      <c r="Q68">
        <v>79999.48</v>
      </c>
      <c r="R68">
        <v>82350</v>
      </c>
      <c r="V68">
        <v>162349</v>
      </c>
      <c r="W68">
        <v>0.1447829519223463</v>
      </c>
      <c r="X68">
        <v>0.19179756210406307</v>
      </c>
      <c r="Y68">
        <v>2020</v>
      </c>
      <c r="Z68" t="s">
        <v>153</v>
      </c>
      <c r="AD68" t="str">
        <f>Labour_Master[[#This Row],[Year]] &amp; "-" &amp; Labour_Master[[#This Row],[Quarter]]</f>
        <v>2020-Q4</v>
      </c>
    </row>
    <row r="69" spans="1:30" x14ac:dyDescent="0.35">
      <c r="A69" t="s">
        <v>97</v>
      </c>
      <c r="B69" t="s">
        <v>64</v>
      </c>
      <c r="C69" t="s">
        <v>65</v>
      </c>
      <c r="D69" t="s">
        <v>98</v>
      </c>
      <c r="E69">
        <v>3022382</v>
      </c>
      <c r="F69">
        <v>2482462</v>
      </c>
      <c r="H69">
        <v>2512677</v>
      </c>
      <c r="I69">
        <v>0.123</v>
      </c>
      <c r="J69">
        <v>0.82135944430584884</v>
      </c>
      <c r="K69">
        <v>0.83135652607777577</v>
      </c>
      <c r="L69">
        <v>2.4E-2</v>
      </c>
      <c r="M69">
        <v>1.4E-2</v>
      </c>
      <c r="N69">
        <v>2.5999999999999999E-2</v>
      </c>
      <c r="S69">
        <v>0.96199999999999997</v>
      </c>
      <c r="T69">
        <v>3.7999999999999999E-2</v>
      </c>
      <c r="U69">
        <v>2396374</v>
      </c>
      <c r="V69">
        <v>30215</v>
      </c>
      <c r="W69">
        <v>1.2025023510781529E-2</v>
      </c>
      <c r="Y69">
        <v>2022</v>
      </c>
      <c r="Z69" t="s">
        <v>154</v>
      </c>
      <c r="AA69">
        <v>6391047</v>
      </c>
      <c r="AB69">
        <v>3153501</v>
      </c>
      <c r="AC69">
        <v>3237546</v>
      </c>
      <c r="AD69" t="str">
        <f>Labour_Master[[#This Row],[Year]] &amp; "-" &amp; Labour_Master[[#This Row],[Quarter]]</f>
        <v>2022-Q2</v>
      </c>
    </row>
    <row r="70" spans="1:30" x14ac:dyDescent="0.35">
      <c r="A70" t="s">
        <v>99</v>
      </c>
      <c r="B70" t="s">
        <v>24</v>
      </c>
      <c r="C70" t="s">
        <v>25</v>
      </c>
      <c r="D70" t="s">
        <v>100</v>
      </c>
      <c r="E70">
        <v>1832572</v>
      </c>
      <c r="F70">
        <v>678166</v>
      </c>
      <c r="G70">
        <v>841845</v>
      </c>
      <c r="H70">
        <v>990728</v>
      </c>
      <c r="J70">
        <v>0.3700626038090068</v>
      </c>
      <c r="K70">
        <v>0.54062126447187187</v>
      </c>
      <c r="O70">
        <v>319819</v>
      </c>
      <c r="P70">
        <v>358347.4</v>
      </c>
      <c r="Q70">
        <v>228488.9</v>
      </c>
      <c r="R70">
        <v>84072</v>
      </c>
      <c r="V70">
        <v>312561</v>
      </c>
      <c r="W70">
        <v>0.31548640771554237</v>
      </c>
      <c r="X70">
        <v>0.3617012750731155</v>
      </c>
      <c r="Y70">
        <v>2020</v>
      </c>
      <c r="Z70" t="s">
        <v>153</v>
      </c>
      <c r="AD70" t="str">
        <f>Labour_Master[[#This Row],[Year]] &amp; "-" &amp; Labour_Master[[#This Row],[Quarter]]</f>
        <v>2020-Q4</v>
      </c>
    </row>
    <row r="71" spans="1:30" x14ac:dyDescent="0.35">
      <c r="A71" t="s">
        <v>99</v>
      </c>
      <c r="B71" t="s">
        <v>24</v>
      </c>
      <c r="C71" t="s">
        <v>25</v>
      </c>
      <c r="D71" t="s">
        <v>100</v>
      </c>
      <c r="E71">
        <v>1881973</v>
      </c>
      <c r="F71">
        <v>1327084</v>
      </c>
      <c r="H71">
        <v>1352841</v>
      </c>
      <c r="I71">
        <v>0.14599999999999999</v>
      </c>
      <c r="J71">
        <v>0.7051557062720879</v>
      </c>
      <c r="K71">
        <v>0.71884187498970498</v>
      </c>
      <c r="L71">
        <v>0.23899999999999999</v>
      </c>
      <c r="M71">
        <v>8.3000000000000004E-2</v>
      </c>
      <c r="N71">
        <v>0.28899999999999998</v>
      </c>
      <c r="S71">
        <v>0.89500000000000002</v>
      </c>
      <c r="T71">
        <v>0.105</v>
      </c>
      <c r="U71">
        <v>1275071</v>
      </c>
      <c r="V71">
        <v>25757</v>
      </c>
      <c r="W71">
        <v>1.9039192336719541E-2</v>
      </c>
      <c r="Y71">
        <v>2022</v>
      </c>
      <c r="Z71" t="s">
        <v>154</v>
      </c>
      <c r="AA71">
        <v>3609843</v>
      </c>
      <c r="AB71">
        <v>1809411</v>
      </c>
      <c r="AC71">
        <v>1800432</v>
      </c>
      <c r="AD71" t="str">
        <f>Labour_Master[[#This Row],[Year]] &amp; "-" &amp; Labour_Master[[#This Row],[Quarter]]</f>
        <v>2022-Q2</v>
      </c>
    </row>
    <row r="72" spans="1:30" x14ac:dyDescent="0.35">
      <c r="A72" t="s">
        <v>101</v>
      </c>
      <c r="B72" t="s">
        <v>24</v>
      </c>
      <c r="C72" t="s">
        <v>25</v>
      </c>
      <c r="D72" t="s">
        <v>102</v>
      </c>
      <c r="E72">
        <v>2117760</v>
      </c>
      <c r="F72">
        <v>274671</v>
      </c>
      <c r="G72">
        <v>1538643</v>
      </c>
      <c r="H72">
        <v>579117</v>
      </c>
      <c r="J72">
        <v>0.12969865609877004</v>
      </c>
      <c r="K72">
        <v>0.27345721644163801</v>
      </c>
      <c r="O72">
        <v>149877.70000000001</v>
      </c>
      <c r="P72">
        <v>124792.9</v>
      </c>
      <c r="Q72">
        <v>231005.4</v>
      </c>
      <c r="R72">
        <v>73441</v>
      </c>
      <c r="V72">
        <v>304446</v>
      </c>
      <c r="W72">
        <v>0.52570768551485392</v>
      </c>
      <c r="X72">
        <v>0.21548834630394875</v>
      </c>
      <c r="Y72">
        <v>2020</v>
      </c>
      <c r="Z72" t="s">
        <v>153</v>
      </c>
      <c r="AD72" t="str">
        <f>Labour_Master[[#This Row],[Year]] &amp; "-" &amp; Labour_Master[[#This Row],[Quarter]]</f>
        <v>2020-Q4</v>
      </c>
    </row>
    <row r="73" spans="1:30" x14ac:dyDescent="0.35">
      <c r="A73" t="s">
        <v>101</v>
      </c>
      <c r="B73" t="s">
        <v>24</v>
      </c>
      <c r="C73" t="s">
        <v>25</v>
      </c>
      <c r="D73" t="s">
        <v>102</v>
      </c>
      <c r="E73">
        <v>1748747</v>
      </c>
      <c r="F73">
        <v>1410946</v>
      </c>
      <c r="H73">
        <v>1459741</v>
      </c>
      <c r="I73">
        <v>0.126</v>
      </c>
      <c r="J73">
        <v>0.80683254924811876</v>
      </c>
      <c r="K73">
        <v>0.83473538482124632</v>
      </c>
      <c r="L73">
        <v>0.32200000000000001</v>
      </c>
      <c r="M73">
        <v>6.2E-2</v>
      </c>
      <c r="N73">
        <v>0.34200000000000003</v>
      </c>
      <c r="S73">
        <v>0.92900000000000005</v>
      </c>
      <c r="T73">
        <v>7.0999999999999994E-2</v>
      </c>
      <c r="U73">
        <v>1369419</v>
      </c>
      <c r="V73">
        <v>48795</v>
      </c>
      <c r="W73">
        <v>3.3427162763805363E-2</v>
      </c>
      <c r="Y73">
        <v>2022</v>
      </c>
      <c r="Z73" t="s">
        <v>154</v>
      </c>
      <c r="AA73">
        <v>3649607</v>
      </c>
      <c r="AB73">
        <v>1854775</v>
      </c>
      <c r="AC73">
        <v>1794832</v>
      </c>
      <c r="AD73" t="str">
        <f>Labour_Master[[#This Row],[Year]] &amp; "-" &amp; Labour_Master[[#This Row],[Quarter]]</f>
        <v>2022-Q2</v>
      </c>
    </row>
    <row r="74" spans="1:30" x14ac:dyDescent="0.35">
      <c r="A74" t="s">
        <v>103</v>
      </c>
      <c r="B74" t="s">
        <v>64</v>
      </c>
      <c r="C74" t="s">
        <v>65</v>
      </c>
      <c r="D74" t="s">
        <v>104</v>
      </c>
      <c r="E74">
        <v>2558121</v>
      </c>
      <c r="F74">
        <v>1356542</v>
      </c>
      <c r="G74">
        <v>999011</v>
      </c>
      <c r="H74">
        <v>1559110</v>
      </c>
      <c r="J74">
        <v>0.53028850389977578</v>
      </c>
      <c r="K74">
        <v>0.60947467153044421</v>
      </c>
      <c r="O74">
        <v>705965.8</v>
      </c>
      <c r="P74">
        <v>650576.5</v>
      </c>
      <c r="Q74">
        <v>143196.29999999999</v>
      </c>
      <c r="R74">
        <v>59372</v>
      </c>
      <c r="V74">
        <v>202568</v>
      </c>
      <c r="W74">
        <v>0.12992528045804588</v>
      </c>
      <c r="X74">
        <v>0.41727422474691012</v>
      </c>
      <c r="Y74">
        <v>2020</v>
      </c>
      <c r="Z74" t="s">
        <v>153</v>
      </c>
      <c r="AD74" t="str">
        <f>Labour_Master[[#This Row],[Year]] &amp; "-" &amp; Labour_Master[[#This Row],[Quarter]]</f>
        <v>2020-Q4</v>
      </c>
    </row>
    <row r="75" spans="1:30" x14ac:dyDescent="0.35">
      <c r="A75" t="s">
        <v>103</v>
      </c>
      <c r="B75" t="s">
        <v>64</v>
      </c>
      <c r="C75" t="s">
        <v>65</v>
      </c>
      <c r="D75" t="s">
        <v>104</v>
      </c>
      <c r="E75">
        <v>2719242</v>
      </c>
      <c r="F75">
        <v>1741263</v>
      </c>
      <c r="H75">
        <v>1797094</v>
      </c>
      <c r="I75">
        <v>4.4999999999999998E-2</v>
      </c>
      <c r="J75">
        <v>0.64034867069573065</v>
      </c>
      <c r="K75">
        <v>0.66088049537334304</v>
      </c>
      <c r="L75">
        <v>0.151</v>
      </c>
      <c r="M75">
        <v>3.5000000000000003E-2</v>
      </c>
      <c r="N75">
        <v>0.154</v>
      </c>
      <c r="S75">
        <v>0.95299999999999996</v>
      </c>
      <c r="T75">
        <v>4.7E-2</v>
      </c>
      <c r="U75">
        <v>1638934</v>
      </c>
      <c r="V75">
        <v>55831</v>
      </c>
      <c r="W75">
        <v>3.1067378779295909E-2</v>
      </c>
      <c r="Y75">
        <v>2022</v>
      </c>
      <c r="Z75" t="s">
        <v>154</v>
      </c>
      <c r="AA75">
        <v>5833494</v>
      </c>
      <c r="AB75">
        <v>2873601</v>
      </c>
      <c r="AC75">
        <v>2959893</v>
      </c>
      <c r="AD75" t="str">
        <f>Labour_Master[[#This Row],[Year]] &amp; "-" &amp; Labour_Master[[#This Row],[Quarter]]</f>
        <v>2022-Q2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9C714-3320-48CC-87DE-87F989344B46}">
  <dimension ref="A1:X38"/>
  <sheetViews>
    <sheetView topLeftCell="K1" workbookViewId="0">
      <selection activeCell="K4" sqref="K4"/>
    </sheetView>
  </sheetViews>
  <sheetFormatPr defaultRowHeight="14.5" x14ac:dyDescent="0.35"/>
  <cols>
    <col min="1" max="1" width="12.6328125" bestFit="1" customWidth="1"/>
    <col min="2" max="2" width="18.26953125" bestFit="1" customWidth="1"/>
    <col min="3" max="3" width="11.90625" bestFit="1" customWidth="1"/>
    <col min="4" max="4" width="11.6328125" bestFit="1" customWidth="1"/>
    <col min="5" max="5" width="21.6328125" customWidth="1"/>
    <col min="6" max="6" width="21.54296875" customWidth="1"/>
    <col min="7" max="7" width="23.7265625" customWidth="1"/>
    <col min="8" max="8" width="16.453125" customWidth="1"/>
    <col min="9" max="9" width="11.08984375" customWidth="1"/>
    <col min="10" max="10" width="13.453125" customWidth="1"/>
    <col min="11" max="11" width="20.36328125" style="2" customWidth="1"/>
    <col min="12" max="12" width="23.08984375" customWidth="1"/>
    <col min="13" max="13" width="7.26953125" style="15" bestFit="1" customWidth="1"/>
    <col min="14" max="14" width="8.7265625" style="15"/>
    <col min="15" max="15" width="15.1796875" customWidth="1"/>
    <col min="16" max="16" width="11.90625" customWidth="1"/>
    <col min="17" max="17" width="21.26953125" customWidth="1"/>
    <col min="18" max="18" width="12.6328125" customWidth="1"/>
    <col min="22" max="22" width="17.453125" customWidth="1"/>
    <col min="23" max="23" width="8.90625" style="9" bestFit="1" customWidth="1"/>
    <col min="24" max="24" width="8.7265625" style="9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173</v>
      </c>
      <c r="F1" t="s">
        <v>174</v>
      </c>
      <c r="G1" t="s">
        <v>175</v>
      </c>
      <c r="H1" t="s">
        <v>4</v>
      </c>
      <c r="I1" t="s">
        <v>5</v>
      </c>
      <c r="J1" t="s">
        <v>6</v>
      </c>
      <c r="K1" s="2" t="s">
        <v>7</v>
      </c>
      <c r="L1" t="s">
        <v>8</v>
      </c>
      <c r="M1" s="15" t="s">
        <v>9</v>
      </c>
      <c r="N1" s="15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s="9" t="s">
        <v>151</v>
      </c>
      <c r="X1" s="9" t="s">
        <v>152</v>
      </c>
    </row>
    <row r="2" spans="1:24" x14ac:dyDescent="0.35">
      <c r="A2" t="s">
        <v>19</v>
      </c>
      <c r="B2" t="s">
        <v>20</v>
      </c>
      <c r="C2" t="s">
        <v>21</v>
      </c>
      <c r="D2" t="s">
        <v>22</v>
      </c>
      <c r="E2">
        <v>4143093</v>
      </c>
      <c r="F2">
        <v>2048425</v>
      </c>
      <c r="G2">
        <v>2094668</v>
      </c>
      <c r="H2" s="1">
        <v>1914450</v>
      </c>
      <c r="I2" s="1">
        <v>1555922</v>
      </c>
      <c r="J2" s="1">
        <v>358528</v>
      </c>
      <c r="K2" s="2">
        <f>tblLabour2022[[#This Row],[Unemployed]]/tblLabour2022[[#This Row],[Labour_Force]]</f>
        <v>0.18727467418840921</v>
      </c>
      <c r="L2" s="2">
        <v>0.159</v>
      </c>
      <c r="M2" s="15">
        <f>tblLabour2022[[#This Row],[Labour_Force]]/tblLabour2022[[#This Row],[Working_Age_Pop]]</f>
        <v>0.76969435762513838</v>
      </c>
      <c r="N2" s="15">
        <f>tblLabour2022[[#This Row],[Employed]]/tblLabour2022[[#This Row],[Working_Age_Pop]]</f>
        <v>0.6255500975762337</v>
      </c>
      <c r="O2" s="2">
        <v>0.80400000000000005</v>
      </c>
      <c r="P2" s="2">
        <v>0.19600000000000001</v>
      </c>
      <c r="Q2" s="1">
        <v>1516059</v>
      </c>
      <c r="R2" s="2">
        <v>0.38100000000000001</v>
      </c>
      <c r="S2" s="2">
        <v>0.22700000000000001</v>
      </c>
      <c r="T2" s="2">
        <v>0.19</v>
      </c>
      <c r="U2" s="2">
        <v>0.23</v>
      </c>
      <c r="V2" s="1">
        <v>2487286</v>
      </c>
      <c r="W2" s="9">
        <v>2022</v>
      </c>
      <c r="X2" s="9" t="s">
        <v>154</v>
      </c>
    </row>
    <row r="3" spans="1:24" x14ac:dyDescent="0.35">
      <c r="A3" t="s">
        <v>23</v>
      </c>
      <c r="B3" t="s">
        <v>24</v>
      </c>
      <c r="C3" t="s">
        <v>25</v>
      </c>
      <c r="D3" t="s">
        <v>26</v>
      </c>
      <c r="E3">
        <v>4902055</v>
      </c>
      <c r="F3">
        <v>2455347</v>
      </c>
      <c r="G3">
        <v>2446708</v>
      </c>
      <c r="H3" s="1">
        <v>1654854</v>
      </c>
      <c r="I3" s="1">
        <v>1601931</v>
      </c>
      <c r="J3" s="1">
        <v>52923</v>
      </c>
      <c r="K3" s="2">
        <f>tblLabour2022[[#This Row],[Unemployed]]/tblLabour2022[[#This Row],[Labour_Force]]</f>
        <v>3.1980464741904725E-2</v>
      </c>
      <c r="L3" s="2">
        <v>0.247</v>
      </c>
      <c r="M3" s="15">
        <f>tblLabour2022[[#This Row],[Labour_Force]]/tblLabour2022[[#This Row],[Working_Age_Pop]]</f>
        <v>0.63739574482508399</v>
      </c>
      <c r="N3" s="15">
        <f>tblLabour2022[[#This Row],[Employed]]/tblLabour2022[[#This Row],[Working_Age_Pop]]</f>
        <v>0.61701153268106523</v>
      </c>
      <c r="O3" s="2">
        <v>0.92600000000000005</v>
      </c>
      <c r="P3" s="2">
        <v>7.3999999999999996E-2</v>
      </c>
      <c r="Q3" s="1">
        <v>1522609</v>
      </c>
      <c r="R3" s="2">
        <v>0.19700000000000001</v>
      </c>
      <c r="S3" s="2">
        <v>0.11700000000000001</v>
      </c>
      <c r="T3" s="2">
        <v>6.7000000000000004E-2</v>
      </c>
      <c r="U3" s="2">
        <v>0.14899999999999999</v>
      </c>
      <c r="V3" s="1">
        <v>2596274</v>
      </c>
      <c r="W3" s="9">
        <v>2022</v>
      </c>
      <c r="X3" s="9" t="s">
        <v>154</v>
      </c>
    </row>
    <row r="4" spans="1:24" x14ac:dyDescent="0.35">
      <c r="A4" t="s">
        <v>27</v>
      </c>
      <c r="B4" t="s">
        <v>28</v>
      </c>
      <c r="C4" t="s">
        <v>29</v>
      </c>
      <c r="D4" t="s">
        <v>30</v>
      </c>
      <c r="E4">
        <v>4979418</v>
      </c>
      <c r="F4">
        <v>2491436</v>
      </c>
      <c r="G4">
        <v>2487982</v>
      </c>
      <c r="H4" s="1">
        <v>2256916</v>
      </c>
      <c r="I4" s="1">
        <v>2142818</v>
      </c>
      <c r="J4" s="1">
        <v>114098</v>
      </c>
      <c r="K4" s="2">
        <f>tblLabour2022[[#This Row],[Unemployed]]/tblLabour2022[[#This Row],[Labour_Force]]</f>
        <v>5.0554827915615823E-2</v>
      </c>
      <c r="L4" s="2">
        <v>0.16700000000000001</v>
      </c>
      <c r="M4" s="15">
        <f>tblLabour2022[[#This Row],[Labour_Force]]/tblLabour2022[[#This Row],[Working_Age_Pop]]</f>
        <v>0.78177323298644674</v>
      </c>
      <c r="N4" s="15">
        <f>tblLabour2022[[#This Row],[Employed]]/tblLabour2022[[#This Row],[Working_Age_Pop]]</f>
        <v>0.74225082172378232</v>
      </c>
      <c r="O4" s="2">
        <v>0.79900000000000004</v>
      </c>
      <c r="P4" s="2">
        <v>0.20100000000000001</v>
      </c>
      <c r="Q4" s="1">
        <v>1926520</v>
      </c>
      <c r="R4" s="2">
        <v>0.124</v>
      </c>
      <c r="S4" s="2">
        <v>0.151</v>
      </c>
      <c r="T4" s="2">
        <v>6.4000000000000001E-2</v>
      </c>
      <c r="U4" s="2">
        <v>0.16400000000000001</v>
      </c>
      <c r="V4" s="1">
        <v>2886919</v>
      </c>
      <c r="W4" s="9">
        <v>2022</v>
      </c>
      <c r="X4" s="9" t="s">
        <v>154</v>
      </c>
    </row>
    <row r="5" spans="1:24" x14ac:dyDescent="0.35">
      <c r="A5" t="s">
        <v>31</v>
      </c>
      <c r="B5" t="s">
        <v>20</v>
      </c>
      <c r="C5" t="s">
        <v>21</v>
      </c>
      <c r="D5" t="s">
        <v>32</v>
      </c>
      <c r="E5">
        <v>5953517</v>
      </c>
      <c r="F5">
        <v>2970366</v>
      </c>
      <c r="G5">
        <v>2983151</v>
      </c>
      <c r="H5" s="1">
        <v>2627088</v>
      </c>
      <c r="I5" s="1">
        <v>2502159</v>
      </c>
      <c r="J5" s="1">
        <v>124929</v>
      </c>
      <c r="K5" s="2">
        <f>tblLabour2022[[#This Row],[Unemployed]]/tblLabour2022[[#This Row],[Labour_Force]]</f>
        <v>4.7554174051268931E-2</v>
      </c>
      <c r="L5" s="2">
        <v>0.16500000000000001</v>
      </c>
      <c r="M5" s="15">
        <f>tblLabour2022[[#This Row],[Labour_Force]]/tblLabour2022[[#This Row],[Working_Age_Pop]]</f>
        <v>0.76214038521178062</v>
      </c>
      <c r="N5" s="15">
        <f>tblLabour2022[[#This Row],[Employed]]/tblLabour2022[[#This Row],[Working_Age_Pop]]</f>
        <v>0.72589742868191842</v>
      </c>
      <c r="O5" s="2">
        <v>0.78900000000000003</v>
      </c>
      <c r="P5" s="2">
        <v>0.21099999999999999</v>
      </c>
      <c r="Q5" s="1">
        <v>2330167</v>
      </c>
      <c r="R5" s="2">
        <v>0.17899999999999999</v>
      </c>
      <c r="S5" s="2">
        <v>6.9000000000000006E-2</v>
      </c>
      <c r="T5" s="2">
        <v>5.5E-2</v>
      </c>
      <c r="U5" s="2">
        <v>7.5999999999999998E-2</v>
      </c>
      <c r="V5" s="1">
        <v>3446987</v>
      </c>
      <c r="W5" s="9">
        <v>2022</v>
      </c>
      <c r="X5" s="9" t="s">
        <v>154</v>
      </c>
    </row>
    <row r="6" spans="1:24" x14ac:dyDescent="0.35">
      <c r="A6" t="s">
        <v>33</v>
      </c>
      <c r="B6" t="s">
        <v>24</v>
      </c>
      <c r="C6" t="s">
        <v>25</v>
      </c>
      <c r="D6" t="s">
        <v>34</v>
      </c>
      <c r="E6">
        <v>8308783</v>
      </c>
      <c r="F6">
        <v>4148535</v>
      </c>
      <c r="G6">
        <v>4160248</v>
      </c>
      <c r="H6" s="1">
        <v>3592833</v>
      </c>
      <c r="I6" s="1">
        <v>3440402</v>
      </c>
      <c r="J6" s="1">
        <v>152431</v>
      </c>
      <c r="K6" s="2">
        <f>tblLabour2022[[#This Row],[Unemployed]]/tblLabour2022[[#This Row],[Labour_Force]]</f>
        <v>4.2426408352406027E-2</v>
      </c>
      <c r="L6" s="2">
        <v>0.3</v>
      </c>
      <c r="M6" s="15">
        <f>tblLabour2022[[#This Row],[Labour_Force]]/tblLabour2022[[#This Row],[Working_Age_Pop]]</f>
        <v>0.92342633051666212</v>
      </c>
      <c r="N6" s="15">
        <f>tblLabour2022[[#This Row],[Employed]]/tblLabour2022[[#This Row],[Working_Age_Pop]]</f>
        <v>0.88424866793479839</v>
      </c>
      <c r="O6" s="2">
        <v>0.94799999999999995</v>
      </c>
      <c r="P6" s="2">
        <v>5.1999999999999998E-2</v>
      </c>
      <c r="Q6" s="1">
        <v>3310984</v>
      </c>
      <c r="R6" s="2">
        <v>0.06</v>
      </c>
      <c r="S6" s="2">
        <v>0.32700000000000001</v>
      </c>
      <c r="T6" s="2">
        <v>5.1999999999999998E-2</v>
      </c>
      <c r="U6" s="2">
        <v>0.33400000000000002</v>
      </c>
      <c r="V6" s="1">
        <v>3890763</v>
      </c>
      <c r="W6" s="9">
        <v>2022</v>
      </c>
      <c r="X6" s="9" t="s">
        <v>154</v>
      </c>
    </row>
    <row r="7" spans="1:24" x14ac:dyDescent="0.35">
      <c r="A7" t="s">
        <v>35</v>
      </c>
      <c r="B7" t="s">
        <v>28</v>
      </c>
      <c r="C7" t="s">
        <v>29</v>
      </c>
      <c r="D7" t="s">
        <v>36</v>
      </c>
      <c r="E7">
        <v>2537375</v>
      </c>
      <c r="F7">
        <v>1270277</v>
      </c>
      <c r="G7">
        <v>1267098</v>
      </c>
      <c r="H7" s="1">
        <v>993497</v>
      </c>
      <c r="I7" s="1">
        <v>930693</v>
      </c>
      <c r="J7" s="1">
        <v>62804</v>
      </c>
      <c r="K7" s="2">
        <f>tblLabour2022[[#This Row],[Unemployed]]/tblLabour2022[[#This Row],[Labour_Force]]</f>
        <v>6.3215087715413329E-2</v>
      </c>
      <c r="L7" s="2">
        <v>0.30199999999999999</v>
      </c>
      <c r="M7" s="15">
        <f>tblLabour2022[[#This Row],[Labour_Force]]/tblLabour2022[[#This Row],[Working_Age_Pop]]</f>
        <v>0.69755556413704012</v>
      </c>
      <c r="N7" s="15">
        <f>tblLabour2022[[#This Row],[Employed]]/tblLabour2022[[#This Row],[Working_Age_Pop]]</f>
        <v>0.6534595279637424</v>
      </c>
      <c r="O7" s="2">
        <v>0.745</v>
      </c>
      <c r="P7" s="2">
        <v>0.255</v>
      </c>
      <c r="Q7" s="1">
        <v>783274</v>
      </c>
      <c r="R7" s="2">
        <v>0.14899999999999999</v>
      </c>
      <c r="S7" s="2">
        <v>0.18099999999999999</v>
      </c>
      <c r="T7" s="2">
        <v>0.10299999999999999</v>
      </c>
      <c r="U7" s="2">
        <v>0.216</v>
      </c>
      <c r="V7" s="1">
        <v>1424255</v>
      </c>
      <c r="W7" s="9">
        <v>2022</v>
      </c>
      <c r="X7" s="9" t="s">
        <v>154</v>
      </c>
    </row>
    <row r="8" spans="1:24" x14ac:dyDescent="0.35">
      <c r="A8" t="s">
        <v>37</v>
      </c>
      <c r="B8" t="s">
        <v>38</v>
      </c>
      <c r="C8" t="s">
        <v>39</v>
      </c>
      <c r="D8" t="s">
        <v>40</v>
      </c>
      <c r="E8">
        <v>6141284</v>
      </c>
      <c r="F8">
        <v>3036178</v>
      </c>
      <c r="G8">
        <v>3105106</v>
      </c>
      <c r="H8" s="1">
        <v>2869814</v>
      </c>
      <c r="I8" s="1">
        <v>2822648</v>
      </c>
      <c r="J8" s="1">
        <v>47166</v>
      </c>
      <c r="K8" s="2">
        <f>tblLabour2022[[#This Row],[Unemployed]]/tblLabour2022[[#This Row],[Labour_Force]]</f>
        <v>1.6435211480604665E-2</v>
      </c>
      <c r="L8" s="2">
        <v>0.435</v>
      </c>
      <c r="M8" s="15">
        <f>tblLabour2022[[#This Row],[Labour_Force]]/tblLabour2022[[#This Row],[Working_Age_Pop]]</f>
        <v>0.83983462087056993</v>
      </c>
      <c r="N8" s="15">
        <f>tblLabour2022[[#This Row],[Employed]]/tblLabour2022[[#This Row],[Working_Age_Pop]]</f>
        <v>0.82603176126782862</v>
      </c>
      <c r="O8" s="2">
        <v>0.93400000000000005</v>
      </c>
      <c r="P8" s="2">
        <v>6.6000000000000003E-2</v>
      </c>
      <c r="Q8" s="1">
        <v>2745095</v>
      </c>
      <c r="R8" s="2">
        <v>0.106</v>
      </c>
      <c r="S8" s="2">
        <v>6.6000000000000003E-2</v>
      </c>
      <c r="T8" s="2">
        <v>2.8000000000000001E-2</v>
      </c>
      <c r="U8" s="2">
        <v>7.6999999999999999E-2</v>
      </c>
      <c r="V8" s="1">
        <v>3417118</v>
      </c>
      <c r="W8" s="9">
        <v>2022</v>
      </c>
      <c r="X8" s="9" t="s">
        <v>154</v>
      </c>
    </row>
    <row r="9" spans="1:24" x14ac:dyDescent="0.35">
      <c r="A9" t="s">
        <v>41</v>
      </c>
      <c r="B9" t="s">
        <v>24</v>
      </c>
      <c r="C9" t="s">
        <v>25</v>
      </c>
      <c r="D9" t="s">
        <v>42</v>
      </c>
      <c r="E9">
        <v>6111462</v>
      </c>
      <c r="F9">
        <v>3082067</v>
      </c>
      <c r="G9">
        <v>3029395</v>
      </c>
      <c r="H9" s="1">
        <v>2198034</v>
      </c>
      <c r="I9" s="1">
        <v>2037731</v>
      </c>
      <c r="J9" s="1">
        <v>160303</v>
      </c>
      <c r="K9" s="2">
        <f>tblLabour2022[[#This Row],[Unemployed]]/tblLabour2022[[#This Row],[Labour_Force]]</f>
        <v>7.2930173054647926E-2</v>
      </c>
      <c r="L9" s="2">
        <v>0.23799999999999999</v>
      </c>
      <c r="M9" s="15">
        <f>tblLabour2022[[#This Row],[Labour_Force]]/tblLabour2022[[#This Row],[Working_Age_Pop]]</f>
        <v>0.80271985619923503</v>
      </c>
      <c r="N9" s="15">
        <f>tblLabour2022[[#This Row],[Employed]]/tblLabour2022[[#This Row],[Working_Age_Pop]]</f>
        <v>0.74417735817222275</v>
      </c>
      <c r="O9" s="2">
        <v>0.78800000000000003</v>
      </c>
      <c r="P9" s="2">
        <v>0.21199999999999999</v>
      </c>
      <c r="Q9" s="1">
        <v>1981880</v>
      </c>
      <c r="R9" s="2">
        <v>0.125</v>
      </c>
      <c r="S9" s="2">
        <v>0.27300000000000002</v>
      </c>
      <c r="T9" s="2">
        <v>0.09</v>
      </c>
      <c r="U9" s="2">
        <v>0.28599999999999998</v>
      </c>
      <c r="V9" s="1">
        <v>2738233</v>
      </c>
      <c r="W9" s="9">
        <v>2022</v>
      </c>
      <c r="X9" s="9" t="s">
        <v>154</v>
      </c>
    </row>
    <row r="10" spans="1:24" x14ac:dyDescent="0.35">
      <c r="A10" t="s">
        <v>43</v>
      </c>
      <c r="B10" t="s">
        <v>28</v>
      </c>
      <c r="C10" t="s">
        <v>29</v>
      </c>
      <c r="D10" t="s">
        <v>44</v>
      </c>
      <c r="E10">
        <v>4406204</v>
      </c>
      <c r="F10">
        <v>2199203</v>
      </c>
      <c r="G10">
        <v>2207001</v>
      </c>
      <c r="H10" s="1">
        <v>2081663</v>
      </c>
      <c r="I10" s="1">
        <v>2022481</v>
      </c>
      <c r="J10" s="1">
        <v>59181</v>
      </c>
      <c r="K10" s="2">
        <f>tblLabour2022[[#This Row],[Unemployed]]/tblLabour2022[[#This Row],[Labour_Force]]</f>
        <v>2.842967377524604E-2</v>
      </c>
      <c r="L10" s="2">
        <v>0.17799999999999999</v>
      </c>
      <c r="M10" s="15">
        <f>tblLabour2022[[#This Row],[Labour_Force]]/tblLabour2022[[#This Row],[Working_Age_Pop]]</f>
        <v>0.81171294088470758</v>
      </c>
      <c r="N10" s="15">
        <f>tblLabour2022[[#This Row],[Employed]]/tblLabour2022[[#This Row],[Working_Age_Pop]]</f>
        <v>0.78863581684136397</v>
      </c>
      <c r="O10" s="2">
        <v>0.86299999999999999</v>
      </c>
      <c r="P10" s="2">
        <v>0.13700000000000001</v>
      </c>
      <c r="Q10" s="1">
        <v>1932142</v>
      </c>
      <c r="R10" s="2">
        <v>0.13500000000000001</v>
      </c>
      <c r="S10" s="2">
        <v>0.06</v>
      </c>
      <c r="T10" s="2">
        <v>0.04</v>
      </c>
      <c r="U10" s="2">
        <v>7.0999999999999994E-2</v>
      </c>
      <c r="V10" s="1">
        <v>2564531</v>
      </c>
      <c r="W10" s="9">
        <v>2022</v>
      </c>
      <c r="X10" s="9" t="s">
        <v>154</v>
      </c>
    </row>
    <row r="11" spans="1:24" x14ac:dyDescent="0.35">
      <c r="A11" t="s">
        <v>45</v>
      </c>
      <c r="B11" t="s">
        <v>28</v>
      </c>
      <c r="C11" t="s">
        <v>29</v>
      </c>
      <c r="D11" t="s">
        <v>46</v>
      </c>
      <c r="E11">
        <v>5636145</v>
      </c>
      <c r="F11">
        <v>2806860</v>
      </c>
      <c r="G11">
        <v>2829285</v>
      </c>
      <c r="H11" s="1">
        <v>2178313</v>
      </c>
      <c r="I11" s="1">
        <v>1999112</v>
      </c>
      <c r="J11" s="1">
        <v>179201</v>
      </c>
      <c r="K11" s="2">
        <f>tblLabour2022[[#This Row],[Unemployed]]/tblLabour2022[[#This Row],[Labour_Force]]</f>
        <v>8.2265955351687292E-2</v>
      </c>
      <c r="L11" s="2">
        <v>0.24</v>
      </c>
      <c r="M11" s="15">
        <f>tblLabour2022[[#This Row],[Labour_Force]]/tblLabour2022[[#This Row],[Working_Age_Pop]]</f>
        <v>0.6745222665646049</v>
      </c>
      <c r="N11" s="15">
        <f>tblLabour2022[[#This Row],[Employed]]/tblLabour2022[[#This Row],[Working_Age_Pop]]</f>
        <v>0.61903204789968214</v>
      </c>
      <c r="O11" s="2">
        <v>0.78300000000000003</v>
      </c>
      <c r="P11" s="2">
        <v>0.217</v>
      </c>
      <c r="Q11" s="1">
        <v>1823185</v>
      </c>
      <c r="R11" s="2">
        <v>0.27100000000000002</v>
      </c>
      <c r="S11" s="2">
        <v>0.20200000000000001</v>
      </c>
      <c r="T11" s="2">
        <v>0.15</v>
      </c>
      <c r="U11" s="2">
        <v>0.26100000000000001</v>
      </c>
      <c r="V11" s="1">
        <v>3229416</v>
      </c>
      <c r="W11" s="9">
        <v>2022</v>
      </c>
      <c r="X11" s="9" t="s">
        <v>154</v>
      </c>
    </row>
    <row r="12" spans="1:24" x14ac:dyDescent="0.35">
      <c r="A12" t="s">
        <v>47</v>
      </c>
      <c r="B12" t="s">
        <v>20</v>
      </c>
      <c r="C12" t="s">
        <v>21</v>
      </c>
      <c r="D12" t="s">
        <v>48</v>
      </c>
      <c r="E12">
        <v>3242518</v>
      </c>
      <c r="F12">
        <v>1538774</v>
      </c>
      <c r="G12">
        <v>1703744</v>
      </c>
      <c r="H12" s="1">
        <v>1042528</v>
      </c>
      <c r="I12" s="1">
        <v>1004301</v>
      </c>
      <c r="J12" s="1">
        <v>38227</v>
      </c>
      <c r="K12" s="2">
        <f>tblLabour2022[[#This Row],[Unemployed]]/tblLabour2022[[#This Row],[Labour_Force]]</f>
        <v>3.6667600294668347E-2</v>
      </c>
      <c r="L12" s="2">
        <v>0.22</v>
      </c>
      <c r="M12" s="15">
        <f>tblLabour2022[[#This Row],[Labour_Force]]/tblLabour2022[[#This Row],[Working_Age_Pop]]</f>
        <v>0.6353240431240893</v>
      </c>
      <c r="N12" s="15">
        <f>tblLabour2022[[#This Row],[Employed]]/tblLabour2022[[#This Row],[Working_Age_Pop]]</f>
        <v>0.61202823505322257</v>
      </c>
      <c r="O12" s="2">
        <v>0.83099999999999996</v>
      </c>
      <c r="P12" s="2">
        <v>0.16900000000000001</v>
      </c>
      <c r="Q12" s="1">
        <v>963518</v>
      </c>
      <c r="R12" s="2">
        <v>0.152</v>
      </c>
      <c r="S12" s="2">
        <v>0.253</v>
      </c>
      <c r="T12" s="2">
        <v>0.11</v>
      </c>
      <c r="U12" s="2">
        <v>0.31</v>
      </c>
      <c r="V12" s="1">
        <v>1640939</v>
      </c>
      <c r="W12" s="9">
        <v>2022</v>
      </c>
      <c r="X12" s="9" t="s">
        <v>154</v>
      </c>
    </row>
    <row r="13" spans="1:24" x14ac:dyDescent="0.35">
      <c r="A13" t="s">
        <v>49</v>
      </c>
      <c r="B13" t="s">
        <v>28</v>
      </c>
      <c r="C13" t="s">
        <v>29</v>
      </c>
      <c r="D13" t="s">
        <v>50</v>
      </c>
      <c r="E13">
        <v>4777042</v>
      </c>
      <c r="F13">
        <v>2394887</v>
      </c>
      <c r="G13">
        <v>2382155</v>
      </c>
      <c r="H13" s="1">
        <v>2045316</v>
      </c>
      <c r="I13" s="1">
        <v>1954445</v>
      </c>
      <c r="J13" s="1">
        <v>90871</v>
      </c>
      <c r="K13" s="2">
        <f>tblLabour2022[[#This Row],[Unemployed]]/tblLabour2022[[#This Row],[Labour_Force]]</f>
        <v>4.4428831535078199E-2</v>
      </c>
      <c r="L13" s="2">
        <v>0.159</v>
      </c>
      <c r="M13" s="15">
        <f>tblLabour2022[[#This Row],[Labour_Force]]/tblLabour2022[[#This Row],[Working_Age_Pop]]</f>
        <v>0.71437263324221978</v>
      </c>
      <c r="N13" s="15">
        <f>tblLabour2022[[#This Row],[Employed]]/tblLabour2022[[#This Row],[Working_Age_Pop]]</f>
        <v>0.68263389186663104</v>
      </c>
      <c r="O13" s="2">
        <v>0.85099999999999998</v>
      </c>
      <c r="P13" s="2">
        <v>0.14899999999999999</v>
      </c>
      <c r="Q13" s="1">
        <v>1816827</v>
      </c>
      <c r="R13" s="2">
        <v>0.19700000000000001</v>
      </c>
      <c r="S13" s="2">
        <v>6.4000000000000001E-2</v>
      </c>
      <c r="T13" s="2">
        <v>4.4999999999999998E-2</v>
      </c>
      <c r="U13" s="2">
        <v>6.4000000000000001E-2</v>
      </c>
      <c r="V13" s="1">
        <v>2863094</v>
      </c>
      <c r="W13" s="9">
        <v>2022</v>
      </c>
      <c r="X13" s="9" t="s">
        <v>154</v>
      </c>
    </row>
    <row r="14" spans="1:24" x14ac:dyDescent="0.35">
      <c r="A14" t="s">
        <v>51</v>
      </c>
      <c r="B14" t="s">
        <v>52</v>
      </c>
      <c r="C14" t="s">
        <v>53</v>
      </c>
      <c r="D14" t="s">
        <v>54</v>
      </c>
      <c r="E14">
        <v>3592163</v>
      </c>
      <c r="F14">
        <v>1792685</v>
      </c>
      <c r="G14">
        <v>1799478</v>
      </c>
      <c r="H14" s="1">
        <v>1386017</v>
      </c>
      <c r="I14" s="1">
        <v>1309749</v>
      </c>
      <c r="J14" s="1">
        <v>76269</v>
      </c>
      <c r="K14" s="2">
        <f>tblLabour2022[[#This Row],[Unemployed]]/tblLabour2022[[#This Row],[Labour_Force]]</f>
        <v>5.5027463588108949E-2</v>
      </c>
      <c r="L14" s="2">
        <v>0.21199999999999999</v>
      </c>
      <c r="M14" s="15">
        <f>tblLabour2022[[#This Row],[Labour_Force]]/tblLabour2022[[#This Row],[Working_Age_Pop]]</f>
        <v>0.63379291139217353</v>
      </c>
      <c r="N14" s="15">
        <f>tblLabour2022[[#This Row],[Employed]]/tblLabour2022[[#This Row],[Working_Age_Pop]]</f>
        <v>0.59891735231457321</v>
      </c>
      <c r="O14" s="2">
        <v>0.77</v>
      </c>
      <c r="P14" s="2">
        <v>0.23</v>
      </c>
      <c r="Q14" s="1">
        <v>1128222</v>
      </c>
      <c r="R14" s="2">
        <v>0.27900000000000003</v>
      </c>
      <c r="S14" s="2">
        <v>0.106</v>
      </c>
      <c r="T14" s="2">
        <v>0.08</v>
      </c>
      <c r="U14" s="2">
        <v>0.129</v>
      </c>
      <c r="V14" s="1">
        <v>2186861</v>
      </c>
      <c r="W14" s="9">
        <v>2022</v>
      </c>
      <c r="X14" s="9" t="s">
        <v>154</v>
      </c>
    </row>
    <row r="15" spans="1:24" x14ac:dyDescent="0.35">
      <c r="A15" t="s">
        <v>55</v>
      </c>
      <c r="B15" t="s">
        <v>20</v>
      </c>
      <c r="C15" t="s">
        <v>21</v>
      </c>
      <c r="D15" t="s">
        <v>56</v>
      </c>
      <c r="E15">
        <v>4690053</v>
      </c>
      <c r="F15">
        <v>2238940</v>
      </c>
      <c r="G15">
        <v>2451113</v>
      </c>
      <c r="H15" s="1">
        <v>1889606</v>
      </c>
      <c r="I15" s="1">
        <v>1777979</v>
      </c>
      <c r="J15" s="1">
        <v>111627</v>
      </c>
      <c r="K15" s="2">
        <f>tblLabour2022[[#This Row],[Unemployed]]/tblLabour2022[[#This Row],[Labour_Force]]</f>
        <v>5.9074219705060209E-2</v>
      </c>
      <c r="L15" s="2">
        <v>0.21299999999999999</v>
      </c>
      <c r="M15" s="15">
        <f>tblLabour2022[[#This Row],[Labour_Force]]/tblLabour2022[[#This Row],[Working_Age_Pop]]</f>
        <v>0.68955971372561042</v>
      </c>
      <c r="N15" s="15">
        <f>tblLabour2022[[#This Row],[Employed]]/tblLabour2022[[#This Row],[Working_Age_Pop]]</f>
        <v>0.64882451169722533</v>
      </c>
      <c r="O15" s="2">
        <v>0.77800000000000002</v>
      </c>
      <c r="P15" s="2">
        <v>0.222</v>
      </c>
      <c r="Q15" s="1">
        <v>1573756</v>
      </c>
      <c r="R15" s="2">
        <v>0.19500000000000001</v>
      </c>
      <c r="S15" s="2">
        <v>8.8999999999999996E-2</v>
      </c>
      <c r="T15" s="2">
        <v>8.4000000000000005E-2</v>
      </c>
      <c r="U15" s="2">
        <v>0.113</v>
      </c>
      <c r="V15" s="1">
        <v>2740308</v>
      </c>
      <c r="W15" s="9">
        <v>2022</v>
      </c>
      <c r="X15" s="9" t="s">
        <v>154</v>
      </c>
    </row>
    <row r="16" spans="1:24" x14ac:dyDescent="0.35">
      <c r="A16" t="s">
        <v>57</v>
      </c>
      <c r="B16" t="s">
        <v>38</v>
      </c>
      <c r="C16" t="s">
        <v>39</v>
      </c>
      <c r="D16" t="s">
        <v>58</v>
      </c>
      <c r="E16">
        <v>3067457</v>
      </c>
      <c r="F16">
        <v>1583259</v>
      </c>
      <c r="G16">
        <v>1484198</v>
      </c>
      <c r="H16" s="1">
        <v>1097280</v>
      </c>
      <c r="I16" s="1">
        <v>942479</v>
      </c>
      <c r="J16" s="1">
        <v>154802</v>
      </c>
      <c r="K16" s="2">
        <f>tblLabour2022[[#This Row],[Unemployed]]/tblLabour2022[[#This Row],[Labour_Force]]</f>
        <v>0.14107793817439487</v>
      </c>
      <c r="L16" s="2">
        <v>0.13100000000000001</v>
      </c>
      <c r="M16" s="15">
        <f>tblLabour2022[[#This Row],[Labour_Force]]/tblLabour2022[[#This Row],[Working_Age_Pop]]</f>
        <v>0.64908606921029277</v>
      </c>
      <c r="N16" s="15">
        <f>tblLabour2022[[#This Row],[Employed]]/tblLabour2022[[#This Row],[Working_Age_Pop]]</f>
        <v>0.55751493640934635</v>
      </c>
      <c r="O16" s="2">
        <v>0.72799999999999998</v>
      </c>
      <c r="P16" s="2">
        <v>0.27200000000000002</v>
      </c>
      <c r="Q16" s="1">
        <v>721365</v>
      </c>
      <c r="R16" s="2">
        <v>0.27300000000000002</v>
      </c>
      <c r="S16" s="2">
        <v>0.192</v>
      </c>
      <c r="T16" s="2">
        <v>0.16200000000000001</v>
      </c>
      <c r="U16" s="2">
        <v>0.21299999999999999</v>
      </c>
      <c r="V16" s="1">
        <v>1690500</v>
      </c>
      <c r="W16" s="9">
        <v>2022</v>
      </c>
      <c r="X16" s="9" t="s">
        <v>154</v>
      </c>
    </row>
    <row r="17" spans="1:24" x14ac:dyDescent="0.35">
      <c r="A17" t="s">
        <v>59</v>
      </c>
      <c r="B17" t="s">
        <v>24</v>
      </c>
      <c r="C17" t="s">
        <v>25</v>
      </c>
      <c r="D17" t="s">
        <v>60</v>
      </c>
      <c r="E17">
        <v>3960122</v>
      </c>
      <c r="F17">
        <v>2052241</v>
      </c>
      <c r="G17">
        <v>1907881</v>
      </c>
      <c r="H17" s="1">
        <v>1310224</v>
      </c>
      <c r="I17" s="1">
        <v>1163993</v>
      </c>
      <c r="J17" s="1">
        <v>146231</v>
      </c>
      <c r="K17" s="2">
        <f>tblLabour2022[[#This Row],[Unemployed]]/tblLabour2022[[#This Row],[Labour_Force]]</f>
        <v>0.11160763350388941</v>
      </c>
      <c r="L17" s="2">
        <v>0.34899999999999998</v>
      </c>
      <c r="M17" s="15">
        <f>tblLabour2022[[#This Row],[Labour_Force]]/tblLabour2022[[#This Row],[Working_Age_Pop]]</f>
        <v>0.66873138335337479</v>
      </c>
      <c r="N17" s="15">
        <f>tblLabour2022[[#This Row],[Employed]]/tblLabour2022[[#This Row],[Working_Age_Pop]]</f>
        <v>0.59409585620752237</v>
      </c>
      <c r="O17" s="2">
        <v>0.90200000000000002</v>
      </c>
      <c r="P17" s="2">
        <v>9.8000000000000004E-2</v>
      </c>
      <c r="Q17" s="1">
        <v>1016529</v>
      </c>
      <c r="R17" s="2">
        <v>0.188</v>
      </c>
      <c r="S17" s="2">
        <v>0.27100000000000002</v>
      </c>
      <c r="T17" s="2">
        <v>0.21199999999999999</v>
      </c>
      <c r="U17" s="2">
        <v>0.35399999999999998</v>
      </c>
      <c r="V17" s="1">
        <v>1959268</v>
      </c>
      <c r="W17" s="9">
        <v>2022</v>
      </c>
      <c r="X17" s="9" t="s">
        <v>154</v>
      </c>
    </row>
    <row r="18" spans="1:24" x14ac:dyDescent="0.35">
      <c r="A18" t="s">
        <v>61</v>
      </c>
      <c r="B18" t="s">
        <v>20</v>
      </c>
      <c r="C18" t="s">
        <v>21</v>
      </c>
      <c r="D18" t="s">
        <v>62</v>
      </c>
      <c r="E18">
        <v>5459337</v>
      </c>
      <c r="F18">
        <v>2710727</v>
      </c>
      <c r="G18">
        <v>2748610</v>
      </c>
      <c r="H18" s="1">
        <v>2254053</v>
      </c>
      <c r="I18" s="1">
        <v>2009039</v>
      </c>
      <c r="J18" s="1">
        <v>245014</v>
      </c>
      <c r="K18" s="2">
        <f>tblLabour2022[[#This Row],[Unemployed]]/tblLabour2022[[#This Row],[Labour_Force]]</f>
        <v>0.10869930742533561</v>
      </c>
      <c r="L18" s="2">
        <v>0.25900000000000001</v>
      </c>
      <c r="M18" s="15">
        <f>tblLabour2022[[#This Row],[Labour_Force]]/tblLabour2022[[#This Row],[Working_Age_Pop]]</f>
        <v>0.69769780614176302</v>
      </c>
      <c r="N18" s="15">
        <f>tblLabour2022[[#This Row],[Employed]]/tblLabour2022[[#This Row],[Working_Age_Pop]]</f>
        <v>0.62185853782197731</v>
      </c>
      <c r="O18" s="2">
        <v>0.77600000000000002</v>
      </c>
      <c r="P18" s="2">
        <v>0.224</v>
      </c>
      <c r="Q18" s="1">
        <v>1887282</v>
      </c>
      <c r="R18" s="2">
        <v>0.23899999999999999</v>
      </c>
      <c r="S18" s="2">
        <v>0.27600000000000002</v>
      </c>
      <c r="T18" s="2">
        <v>0.20200000000000001</v>
      </c>
      <c r="U18" s="2">
        <v>0.35199999999999998</v>
      </c>
      <c r="V18" s="1">
        <v>3230701</v>
      </c>
      <c r="W18" s="9">
        <v>2022</v>
      </c>
      <c r="X18" s="9" t="s">
        <v>154</v>
      </c>
    </row>
    <row r="19" spans="1:24" x14ac:dyDescent="0.35">
      <c r="A19" t="s">
        <v>63</v>
      </c>
      <c r="B19" t="s">
        <v>64</v>
      </c>
      <c r="C19" t="s">
        <v>65</v>
      </c>
      <c r="D19" t="s">
        <v>66</v>
      </c>
      <c r="E19">
        <v>7499059</v>
      </c>
      <c r="F19">
        <v>3704594</v>
      </c>
      <c r="G19">
        <v>3818803</v>
      </c>
      <c r="H19" s="1">
        <v>2415328</v>
      </c>
      <c r="I19" s="1">
        <v>2318975</v>
      </c>
      <c r="J19" s="1">
        <v>96353</v>
      </c>
      <c r="K19" s="2">
        <f>tblLabour2022[[#This Row],[Unemployed]]/tblLabour2022[[#This Row],[Labour_Force]]</f>
        <v>3.9892304482041362E-2</v>
      </c>
      <c r="L19" s="2">
        <v>0.41299999999999998</v>
      </c>
      <c r="M19" s="15">
        <f>tblLabour2022[[#This Row],[Labour_Force]]/tblLabour2022[[#This Row],[Working_Age_Pop]]</f>
        <v>0.72882668803060957</v>
      </c>
      <c r="N19" s="15">
        <f>tblLabour2022[[#This Row],[Employed]]/tblLabour2022[[#This Row],[Working_Age_Pop]]</f>
        <v>0.69975211187705477</v>
      </c>
      <c r="O19" s="2">
        <v>0.96699999999999997</v>
      </c>
      <c r="P19" s="2">
        <v>3.3000000000000002E-2</v>
      </c>
      <c r="Q19" s="1">
        <v>2240375</v>
      </c>
      <c r="R19" s="2">
        <v>0.158</v>
      </c>
      <c r="S19" s="2">
        <v>6.5000000000000002E-2</v>
      </c>
      <c r="T19" s="2">
        <v>5.3999999999999999E-2</v>
      </c>
      <c r="U19" s="2">
        <v>7.9000000000000001E-2</v>
      </c>
      <c r="V19" s="1">
        <v>3313995</v>
      </c>
      <c r="W19" s="9">
        <v>2022</v>
      </c>
      <c r="X19" s="9" t="s">
        <v>154</v>
      </c>
    </row>
    <row r="20" spans="1:24" x14ac:dyDescent="0.35">
      <c r="A20" t="s">
        <v>67</v>
      </c>
      <c r="B20" t="s">
        <v>64</v>
      </c>
      <c r="C20" t="s">
        <v>65</v>
      </c>
      <c r="D20" t="s">
        <v>68</v>
      </c>
      <c r="E20">
        <v>9032181</v>
      </c>
      <c r="F20">
        <v>4450617</v>
      </c>
      <c r="G20">
        <v>4581564</v>
      </c>
      <c r="H20" s="1">
        <v>3699043</v>
      </c>
      <c r="I20" s="1">
        <v>3600438</v>
      </c>
      <c r="J20" s="1">
        <v>98606</v>
      </c>
      <c r="K20" s="2">
        <f>tblLabour2022[[#This Row],[Unemployed]]/tblLabour2022[[#This Row],[Labour_Force]]</f>
        <v>2.6657165110002778E-2</v>
      </c>
      <c r="L20" s="2">
        <v>0.22600000000000001</v>
      </c>
      <c r="M20" s="15">
        <f>tblLabour2022[[#This Row],[Labour_Force]]/tblLabour2022[[#This Row],[Working_Age_Pop]]</f>
        <v>0.82645348778755456</v>
      </c>
      <c r="N20" s="15">
        <f>tblLabour2022[[#This Row],[Employed]]/tblLabour2022[[#This Row],[Working_Age_Pop]]</f>
        <v>0.80442280413145972</v>
      </c>
      <c r="O20" s="2">
        <v>0.874</v>
      </c>
      <c r="P20" s="2">
        <v>0.126</v>
      </c>
      <c r="Q20" s="1">
        <v>3440860</v>
      </c>
      <c r="R20" s="2">
        <v>0.10299999999999999</v>
      </c>
      <c r="S20" s="2">
        <v>0.32900000000000001</v>
      </c>
      <c r="T20" s="2">
        <v>0.12</v>
      </c>
      <c r="U20" s="2">
        <v>0.39400000000000002</v>
      </c>
      <c r="V20" s="1">
        <v>4475803</v>
      </c>
      <c r="W20" s="9">
        <v>2022</v>
      </c>
      <c r="X20" s="9" t="s">
        <v>154</v>
      </c>
    </row>
    <row r="21" spans="1:24" x14ac:dyDescent="0.35">
      <c r="A21" t="s">
        <v>69</v>
      </c>
      <c r="B21" t="s">
        <v>64</v>
      </c>
      <c r="C21" t="s">
        <v>65</v>
      </c>
      <c r="D21" t="s">
        <v>70</v>
      </c>
      <c r="E21">
        <v>15462177</v>
      </c>
      <c r="F21">
        <v>8025613</v>
      </c>
      <c r="G21">
        <v>7436564</v>
      </c>
      <c r="H21" s="1">
        <v>5881156</v>
      </c>
      <c r="I21" s="1">
        <v>5434681</v>
      </c>
      <c r="J21" s="1">
        <v>446475</v>
      </c>
      <c r="K21" s="2">
        <f>tblLabour2022[[#This Row],[Unemployed]]/tblLabour2022[[#This Row],[Labour_Force]]</f>
        <v>7.5916197427852619E-2</v>
      </c>
      <c r="L21" s="2">
        <v>0.312</v>
      </c>
      <c r="M21" s="15">
        <f>tblLabour2022[[#This Row],[Labour_Force]]/tblLabour2022[[#This Row],[Working_Age_Pop]]</f>
        <v>0.81975454292404448</v>
      </c>
      <c r="N21" s="15">
        <f>tblLabour2022[[#This Row],[Employed]]/tblLabour2022[[#This Row],[Working_Age_Pop]]</f>
        <v>0.75752189520104363</v>
      </c>
      <c r="O21" s="2">
        <v>0.90700000000000003</v>
      </c>
      <c r="P21" s="2">
        <v>9.2999999999999999E-2</v>
      </c>
      <c r="Q21" s="1">
        <v>5197699</v>
      </c>
      <c r="R21" s="2">
        <v>0.125</v>
      </c>
      <c r="S21" s="2">
        <v>0.222</v>
      </c>
      <c r="T21" s="2">
        <v>0.125</v>
      </c>
      <c r="U21" s="2">
        <v>0.26400000000000001</v>
      </c>
      <c r="V21" s="1">
        <v>7174289</v>
      </c>
      <c r="W21" s="9">
        <v>2022</v>
      </c>
      <c r="X21" s="9" t="s">
        <v>154</v>
      </c>
    </row>
    <row r="22" spans="1:24" x14ac:dyDescent="0.35">
      <c r="A22" t="s">
        <v>71</v>
      </c>
      <c r="B22" t="s">
        <v>64</v>
      </c>
      <c r="C22" t="s">
        <v>65</v>
      </c>
      <c r="D22" t="s">
        <v>72</v>
      </c>
      <c r="E22">
        <v>10368483</v>
      </c>
      <c r="F22">
        <v>5165079</v>
      </c>
      <c r="G22">
        <v>5203404</v>
      </c>
      <c r="H22" s="1">
        <v>3942533</v>
      </c>
      <c r="I22" s="1">
        <v>3831381</v>
      </c>
      <c r="J22" s="1">
        <v>111152</v>
      </c>
      <c r="K22" s="2">
        <f>tblLabour2022[[#This Row],[Unemployed]]/tblLabour2022[[#This Row],[Labour_Force]]</f>
        <v>2.8193042391782136E-2</v>
      </c>
      <c r="L22" s="2">
        <v>0.23499999999999999</v>
      </c>
      <c r="M22" s="15">
        <f>tblLabour2022[[#This Row],[Labour_Force]]/tblLabour2022[[#This Row],[Working_Age_Pop]]</f>
        <v>0.80605522837699561</v>
      </c>
      <c r="N22" s="15">
        <f>tblLabour2022[[#This Row],[Employed]]/tblLabour2022[[#This Row],[Working_Age_Pop]]</f>
        <v>0.78333007915324526</v>
      </c>
      <c r="O22" s="2">
        <v>0.95299999999999996</v>
      </c>
      <c r="P22" s="2">
        <v>4.7E-2</v>
      </c>
      <c r="Q22" s="1">
        <v>3684729</v>
      </c>
      <c r="R22" s="2">
        <v>7.6999999999999999E-2</v>
      </c>
      <c r="S22" s="2">
        <v>0.155</v>
      </c>
      <c r="T22" s="2">
        <v>3.7999999999999999E-2</v>
      </c>
      <c r="U22" s="2">
        <v>0.16300000000000001</v>
      </c>
      <c r="V22" s="1">
        <v>4891145</v>
      </c>
      <c r="W22" s="9">
        <v>2022</v>
      </c>
      <c r="X22" s="9" t="s">
        <v>154</v>
      </c>
    </row>
    <row r="23" spans="1:24" x14ac:dyDescent="0.35">
      <c r="A23" t="s">
        <v>73</v>
      </c>
      <c r="B23" t="s">
        <v>64</v>
      </c>
      <c r="C23" t="s">
        <v>65</v>
      </c>
      <c r="D23" t="s">
        <v>74</v>
      </c>
      <c r="E23">
        <v>5563907</v>
      </c>
      <c r="F23">
        <v>2734447</v>
      </c>
      <c r="G23">
        <v>2829460</v>
      </c>
      <c r="H23" s="1">
        <v>2370803</v>
      </c>
      <c r="I23" s="1">
        <v>2331771</v>
      </c>
      <c r="J23" s="1">
        <v>39032</v>
      </c>
      <c r="K23" s="2">
        <f>tblLabour2022[[#This Row],[Unemployed]]/tblLabour2022[[#This Row],[Labour_Force]]</f>
        <v>1.646362013208183E-2</v>
      </c>
      <c r="L23" s="2">
        <v>0.34699999999999998</v>
      </c>
      <c r="M23" s="15">
        <f>tblLabour2022[[#This Row],[Labour_Force]]/tblLabour2022[[#This Row],[Working_Age_Pop]]</f>
        <v>0.88787169843259461</v>
      </c>
      <c r="N23" s="15">
        <f>tblLabour2022[[#This Row],[Employed]]/tblLabour2022[[#This Row],[Working_Age_Pop]]</f>
        <v>0.87325411606357406</v>
      </c>
      <c r="O23" s="2">
        <v>0.95399999999999996</v>
      </c>
      <c r="P23" s="2">
        <v>4.5999999999999999E-2</v>
      </c>
      <c r="Q23" s="1">
        <v>2283144</v>
      </c>
      <c r="R23" s="2">
        <v>0.05</v>
      </c>
      <c r="S23" s="2">
        <v>8.2000000000000003E-2</v>
      </c>
      <c r="T23" s="2">
        <v>2.8000000000000001E-2</v>
      </c>
      <c r="U23" s="2">
        <v>9.2999999999999999E-2</v>
      </c>
      <c r="V23" s="1">
        <v>2670209</v>
      </c>
      <c r="W23" s="9">
        <v>2022</v>
      </c>
      <c r="X23" s="9" t="s">
        <v>154</v>
      </c>
    </row>
    <row r="24" spans="1:24" x14ac:dyDescent="0.35">
      <c r="A24" t="s">
        <v>75</v>
      </c>
      <c r="B24" t="s">
        <v>38</v>
      </c>
      <c r="C24" t="s">
        <v>39</v>
      </c>
      <c r="D24" t="s">
        <v>76</v>
      </c>
      <c r="E24">
        <v>4466801</v>
      </c>
      <c r="F24">
        <v>2219653</v>
      </c>
      <c r="G24">
        <v>2247148</v>
      </c>
      <c r="H24" s="1">
        <v>1707990</v>
      </c>
      <c r="I24" s="1">
        <v>1655974</v>
      </c>
      <c r="J24" s="1">
        <v>52016</v>
      </c>
      <c r="K24" s="2">
        <f>tblLabour2022[[#This Row],[Unemployed]]/tblLabour2022[[#This Row],[Labour_Force]]</f>
        <v>3.0454510857791908E-2</v>
      </c>
      <c r="L24" s="2">
        <v>0.28799999999999998</v>
      </c>
      <c r="M24" s="15">
        <f>tblLabour2022[[#This Row],[Labour_Force]]/tblLabour2022[[#This Row],[Working_Age_Pop]]</f>
        <v>0.66113344793562967</v>
      </c>
      <c r="N24" s="15">
        <f>tblLabour2022[[#This Row],[Employed]]/tblLabour2022[[#This Row],[Working_Age_Pop]]</f>
        <v>0.64099895216702463</v>
      </c>
      <c r="O24" s="2">
        <v>0.85099999999999998</v>
      </c>
      <c r="P24" s="2">
        <v>0.14899999999999999</v>
      </c>
      <c r="Q24" s="1">
        <v>1542906</v>
      </c>
      <c r="R24" s="2">
        <v>0.19600000000000001</v>
      </c>
      <c r="S24" s="2">
        <v>0.111</v>
      </c>
      <c r="T24" s="2">
        <v>0.13300000000000001</v>
      </c>
      <c r="U24" s="2">
        <v>0.20499999999999999</v>
      </c>
      <c r="V24" s="1">
        <v>2583427</v>
      </c>
      <c r="W24" s="9">
        <v>2022</v>
      </c>
      <c r="X24" s="9" t="s">
        <v>154</v>
      </c>
    </row>
    <row r="25" spans="1:24" x14ac:dyDescent="0.35">
      <c r="A25" t="s">
        <v>77</v>
      </c>
      <c r="B25" t="s">
        <v>38</v>
      </c>
      <c r="C25" t="s">
        <v>39</v>
      </c>
      <c r="D25" t="s">
        <v>78</v>
      </c>
      <c r="E25">
        <v>3551023</v>
      </c>
      <c r="F25">
        <v>1759073</v>
      </c>
      <c r="G25">
        <v>1791950</v>
      </c>
      <c r="H25" s="1">
        <v>1526907</v>
      </c>
      <c r="I25" s="1">
        <v>1453908</v>
      </c>
      <c r="J25" s="1">
        <v>73000</v>
      </c>
      <c r="K25" s="2">
        <f>tblLabour2022[[#This Row],[Unemployed]]/tblLabour2022[[#This Row],[Labour_Force]]</f>
        <v>4.7809067611845384E-2</v>
      </c>
      <c r="L25" s="2">
        <v>0.192</v>
      </c>
      <c r="M25" s="15">
        <f>tblLabour2022[[#This Row],[Labour_Force]]/tblLabour2022[[#This Row],[Working_Age_Pop]]</f>
        <v>0.76405366415319231</v>
      </c>
      <c r="N25" s="15">
        <f>tblLabour2022[[#This Row],[Employed]]/tblLabour2022[[#This Row],[Working_Age_Pop]]</f>
        <v>0.72752547125767286</v>
      </c>
      <c r="O25" s="2">
        <v>0.81299999999999994</v>
      </c>
      <c r="P25" s="2">
        <v>0.187</v>
      </c>
      <c r="Q25" s="1">
        <v>1290673</v>
      </c>
      <c r="R25" s="2">
        <v>0.127</v>
      </c>
      <c r="S25" s="2">
        <v>0.156</v>
      </c>
      <c r="T25" s="2">
        <v>7.0999999999999994E-2</v>
      </c>
      <c r="U25" s="2">
        <v>0.17699999999999999</v>
      </c>
      <c r="V25" s="1">
        <v>1998429</v>
      </c>
      <c r="W25" s="9">
        <v>2022</v>
      </c>
      <c r="X25" s="9" t="s">
        <v>154</v>
      </c>
    </row>
    <row r="26" spans="1:24" x14ac:dyDescent="0.35">
      <c r="A26" t="s">
        <v>79</v>
      </c>
      <c r="B26" t="s">
        <v>52</v>
      </c>
      <c r="C26" t="s">
        <v>53</v>
      </c>
      <c r="D26" t="s">
        <v>80</v>
      </c>
      <c r="E26">
        <v>13491804</v>
      </c>
      <c r="F26">
        <v>6949233</v>
      </c>
      <c r="G26">
        <v>6542571</v>
      </c>
      <c r="H26" s="1">
        <v>6432653</v>
      </c>
      <c r="I26" s="1">
        <v>6076248</v>
      </c>
      <c r="J26" s="1">
        <v>356405</v>
      </c>
      <c r="K26" s="2">
        <f>tblLabour2022[[#This Row],[Unemployed]]/tblLabour2022[[#This Row],[Labour_Force]]</f>
        <v>5.5405600146626904E-2</v>
      </c>
      <c r="L26" s="2">
        <v>4.4999999999999998E-2</v>
      </c>
      <c r="M26" s="15">
        <f>tblLabour2022[[#This Row],[Labour_Force]]/tblLabour2022[[#This Row],[Working_Age_Pop]]</f>
        <v>0.74286405535807909</v>
      </c>
      <c r="N26" s="15">
        <f>tblLabour2022[[#This Row],[Employed]]/tblLabour2022[[#This Row],[Working_Age_Pop]]</f>
        <v>0.70170522654360767</v>
      </c>
      <c r="O26" s="2">
        <v>0.66200000000000003</v>
      </c>
      <c r="P26" s="2">
        <v>0.33800000000000002</v>
      </c>
      <c r="Q26" s="1">
        <v>4633957</v>
      </c>
      <c r="R26" s="2">
        <v>0.151</v>
      </c>
      <c r="S26" s="2">
        <v>9.7000000000000003E-2</v>
      </c>
      <c r="T26" s="2">
        <v>6.4000000000000001E-2</v>
      </c>
      <c r="U26" s="2">
        <v>0.105</v>
      </c>
      <c r="V26" s="1">
        <v>8659260</v>
      </c>
      <c r="W26" s="9">
        <v>2022</v>
      </c>
      <c r="X26" s="9" t="s">
        <v>154</v>
      </c>
    </row>
    <row r="27" spans="1:24" x14ac:dyDescent="0.35">
      <c r="A27" t="s">
        <v>81</v>
      </c>
      <c r="B27" t="s">
        <v>38</v>
      </c>
      <c r="C27" t="s">
        <v>39</v>
      </c>
      <c r="D27" t="s">
        <v>82</v>
      </c>
      <c r="E27">
        <v>2886022</v>
      </c>
      <c r="F27">
        <v>1422557</v>
      </c>
      <c r="G27">
        <v>1463465</v>
      </c>
      <c r="H27" s="1">
        <v>1372762</v>
      </c>
      <c r="I27" s="1">
        <v>1366044</v>
      </c>
      <c r="J27" s="1">
        <v>6718</v>
      </c>
      <c r="K27" s="2">
        <f>tblLabour2022[[#This Row],[Unemployed]]/tblLabour2022[[#This Row],[Labour_Force]]</f>
        <v>4.8937834817688718E-3</v>
      </c>
      <c r="L27" s="2">
        <v>0.311</v>
      </c>
      <c r="M27" s="15">
        <f>tblLabour2022[[#This Row],[Labour_Force]]/tblLabour2022[[#This Row],[Working_Age_Pop]]</f>
        <v>0.83832281940262965</v>
      </c>
      <c r="N27" s="15">
        <f>tblLabour2022[[#This Row],[Employed]]/tblLabour2022[[#This Row],[Working_Age_Pop]]</f>
        <v>0.83422024903664715</v>
      </c>
      <c r="O27" s="2">
        <v>0.86799999999999999</v>
      </c>
      <c r="P27" s="2">
        <v>0.13200000000000001</v>
      </c>
      <c r="Q27" s="1">
        <v>1242455</v>
      </c>
      <c r="R27" s="2">
        <v>7.3999999999999996E-2</v>
      </c>
      <c r="S27" s="2">
        <v>8.0000000000000002E-3</v>
      </c>
      <c r="T27" s="2">
        <v>7.0000000000000001E-3</v>
      </c>
      <c r="U27" s="2">
        <v>0.01</v>
      </c>
      <c r="V27" s="1">
        <v>1637510</v>
      </c>
      <c r="W27" s="9">
        <v>2022</v>
      </c>
      <c r="X27" s="9" t="s">
        <v>154</v>
      </c>
    </row>
    <row r="28" spans="1:24" x14ac:dyDescent="0.35">
      <c r="A28" t="s">
        <v>83</v>
      </c>
      <c r="B28" t="s">
        <v>38</v>
      </c>
      <c r="C28" t="s">
        <v>39</v>
      </c>
      <c r="D28" t="s">
        <v>84</v>
      </c>
      <c r="E28">
        <v>6783325</v>
      </c>
      <c r="F28">
        <v>3356404</v>
      </c>
      <c r="G28">
        <v>3426921</v>
      </c>
      <c r="H28" s="1">
        <v>2737148</v>
      </c>
      <c r="I28" s="1">
        <v>2650794</v>
      </c>
      <c r="J28" s="1">
        <v>86354</v>
      </c>
      <c r="K28" s="2">
        <f>tblLabour2022[[#This Row],[Unemployed]]/tblLabour2022[[#This Row],[Labour_Force]]</f>
        <v>3.1548896880987068E-2</v>
      </c>
      <c r="L28" s="2">
        <v>0.23400000000000001</v>
      </c>
      <c r="M28" s="15">
        <f>tblLabour2022[[#This Row],[Labour_Force]]/tblLabour2022[[#This Row],[Working_Age_Pop]]</f>
        <v>0.87154747193256232</v>
      </c>
      <c r="N28" s="15">
        <f>tblLabour2022[[#This Row],[Employed]]/tblLabour2022[[#This Row],[Working_Age_Pop]]</f>
        <v>0.84405111061367699</v>
      </c>
      <c r="O28" s="2">
        <v>0.95</v>
      </c>
      <c r="P28" s="2">
        <v>0.05</v>
      </c>
      <c r="Q28" s="1">
        <v>2570746</v>
      </c>
      <c r="R28" s="2">
        <v>0.106</v>
      </c>
      <c r="S28" s="2">
        <v>0.13300000000000001</v>
      </c>
      <c r="T28" s="2">
        <v>0.04</v>
      </c>
      <c r="U28" s="2">
        <v>0.14099999999999999</v>
      </c>
      <c r="V28" s="1">
        <v>3140561</v>
      </c>
      <c r="W28" s="9">
        <v>2022</v>
      </c>
      <c r="X28" s="9" t="s">
        <v>154</v>
      </c>
    </row>
    <row r="29" spans="1:24" x14ac:dyDescent="0.35">
      <c r="A29" t="s">
        <v>85</v>
      </c>
      <c r="B29" t="s">
        <v>52</v>
      </c>
      <c r="C29" t="s">
        <v>53</v>
      </c>
      <c r="D29" t="s">
        <v>86</v>
      </c>
      <c r="E29">
        <v>6379532</v>
      </c>
      <c r="F29">
        <v>3146947</v>
      </c>
      <c r="G29">
        <v>3232585</v>
      </c>
      <c r="H29" s="1">
        <v>2976001</v>
      </c>
      <c r="I29" s="1">
        <v>2713286</v>
      </c>
      <c r="J29" s="1">
        <v>262715</v>
      </c>
      <c r="K29" s="2">
        <f>tblLabour2022[[#This Row],[Unemployed]]/tblLabour2022[[#This Row],[Labour_Force]]</f>
        <v>8.8277860121686785E-2</v>
      </c>
      <c r="L29" s="2">
        <v>9.9000000000000005E-2</v>
      </c>
      <c r="M29" s="15">
        <f>tblLabour2022[[#This Row],[Labour_Force]]/tblLabour2022[[#This Row],[Working_Age_Pop]]</f>
        <v>0.76169090204545675</v>
      </c>
      <c r="N29" s="15">
        <f>tblLabour2022[[#This Row],[Employed]]/tblLabour2022[[#This Row],[Working_Age_Pop]]</f>
        <v>0.69445045913872649</v>
      </c>
      <c r="O29" s="2">
        <v>0.80600000000000005</v>
      </c>
      <c r="P29" s="2">
        <v>0.19400000000000001</v>
      </c>
      <c r="Q29" s="1">
        <v>2244435</v>
      </c>
      <c r="R29" s="2">
        <v>0.224</v>
      </c>
      <c r="S29" s="2">
        <v>0.122</v>
      </c>
      <c r="T29" s="2">
        <v>0.104</v>
      </c>
      <c r="U29" s="2">
        <v>0.13700000000000001</v>
      </c>
      <c r="V29" s="1">
        <v>3907098</v>
      </c>
      <c r="W29" s="9">
        <v>2022</v>
      </c>
      <c r="X29" s="9" t="s">
        <v>154</v>
      </c>
    </row>
    <row r="30" spans="1:24" x14ac:dyDescent="0.35">
      <c r="A30" t="s">
        <v>87</v>
      </c>
      <c r="B30" t="s">
        <v>52</v>
      </c>
      <c r="C30" t="s">
        <v>53</v>
      </c>
      <c r="D30" t="s">
        <v>88</v>
      </c>
      <c r="E30">
        <v>5316603</v>
      </c>
      <c r="F30">
        <v>2645721</v>
      </c>
      <c r="G30">
        <v>2670882</v>
      </c>
      <c r="H30" s="1">
        <v>2318167</v>
      </c>
      <c r="I30" s="1">
        <v>2185675</v>
      </c>
      <c r="J30" s="1">
        <v>132492</v>
      </c>
      <c r="K30" s="2">
        <f>tblLabour2022[[#This Row],[Unemployed]]/tblLabour2022[[#This Row],[Labour_Force]]</f>
        <v>5.7153777100614409E-2</v>
      </c>
      <c r="L30" s="2">
        <v>0.24199999999999999</v>
      </c>
      <c r="M30" s="15">
        <f>tblLabour2022[[#This Row],[Labour_Force]]/tblLabour2022[[#This Row],[Working_Age_Pop]]</f>
        <v>0.73734290050054918</v>
      </c>
      <c r="N30" s="15">
        <f>tblLabour2022[[#This Row],[Employed]]/tblLabour2022[[#This Row],[Working_Age_Pop]]</f>
        <v>0.69520096871862025</v>
      </c>
      <c r="O30" s="2">
        <v>0.85</v>
      </c>
      <c r="P30" s="2">
        <v>0.15</v>
      </c>
      <c r="Q30" s="1">
        <v>2014129</v>
      </c>
      <c r="R30" s="2">
        <v>0.21099999999999999</v>
      </c>
      <c r="S30" s="2">
        <v>9.9000000000000005E-2</v>
      </c>
      <c r="T30" s="2">
        <v>6.8000000000000005E-2</v>
      </c>
      <c r="U30" s="2">
        <v>0.11</v>
      </c>
      <c r="V30" s="1">
        <v>3143947</v>
      </c>
      <c r="W30" s="9">
        <v>2022</v>
      </c>
      <c r="X30" s="9" t="s">
        <v>154</v>
      </c>
    </row>
    <row r="31" spans="1:24" x14ac:dyDescent="0.35">
      <c r="A31" t="s">
        <v>89</v>
      </c>
      <c r="B31" t="s">
        <v>52</v>
      </c>
      <c r="C31" t="s">
        <v>53</v>
      </c>
      <c r="D31" t="s">
        <v>90</v>
      </c>
      <c r="E31">
        <v>4435803</v>
      </c>
      <c r="F31">
        <v>2215842</v>
      </c>
      <c r="G31">
        <v>2219961</v>
      </c>
      <c r="H31" s="1">
        <v>2007786</v>
      </c>
      <c r="I31" s="1">
        <v>1949368</v>
      </c>
      <c r="J31" s="1">
        <v>58417</v>
      </c>
      <c r="K31" s="2">
        <f>tblLabour2022[[#This Row],[Unemployed]]/tblLabour2022[[#This Row],[Labour_Force]]</f>
        <v>2.9095232260808672E-2</v>
      </c>
      <c r="L31" s="2">
        <v>0.25700000000000001</v>
      </c>
      <c r="M31" s="15">
        <f>tblLabour2022[[#This Row],[Labour_Force]]/tblLabour2022[[#This Row],[Working_Age_Pop]]</f>
        <v>0.76514368551986534</v>
      </c>
      <c r="N31" s="15">
        <f>tblLabour2022[[#This Row],[Employed]]/tblLabour2022[[#This Row],[Working_Age_Pop]]</f>
        <v>0.74288127118850755</v>
      </c>
      <c r="O31" s="2">
        <v>0.87</v>
      </c>
      <c r="P31" s="2">
        <v>0.13</v>
      </c>
      <c r="Q31" s="1">
        <v>1837448</v>
      </c>
      <c r="R31" s="2">
        <v>0.20499999999999999</v>
      </c>
      <c r="S31" s="2">
        <v>7.0999999999999994E-2</v>
      </c>
      <c r="T31" s="2">
        <v>4.2000000000000003E-2</v>
      </c>
      <c r="U31" s="2">
        <v>8.4000000000000005E-2</v>
      </c>
      <c r="V31" s="1">
        <v>2624064</v>
      </c>
      <c r="W31" s="9">
        <v>2022</v>
      </c>
      <c r="X31" s="9" t="s">
        <v>154</v>
      </c>
    </row>
    <row r="32" spans="1:24" x14ac:dyDescent="0.35">
      <c r="A32" t="s">
        <v>91</v>
      </c>
      <c r="B32" t="s">
        <v>52</v>
      </c>
      <c r="C32" t="s">
        <v>53</v>
      </c>
      <c r="D32" t="s">
        <v>92</v>
      </c>
      <c r="E32">
        <v>7976081</v>
      </c>
      <c r="F32">
        <v>3956035</v>
      </c>
      <c r="G32">
        <v>4020046</v>
      </c>
      <c r="H32" s="1">
        <v>3958014</v>
      </c>
      <c r="I32" s="1">
        <v>3876960</v>
      </c>
      <c r="J32" s="1">
        <v>81054</v>
      </c>
      <c r="K32" s="2">
        <f>tblLabour2022[[#This Row],[Unemployed]]/tblLabour2022[[#This Row],[Labour_Force]]</f>
        <v>2.047845207217559E-2</v>
      </c>
      <c r="L32" s="2">
        <v>0.19600000000000001</v>
      </c>
      <c r="M32" s="15">
        <f>tblLabour2022[[#This Row],[Labour_Force]]/tblLabour2022[[#This Row],[Working_Age_Pop]]</f>
        <v>0.80298478817851515</v>
      </c>
      <c r="N32" s="15">
        <f>tblLabour2022[[#This Row],[Employed]]/tblLabour2022[[#This Row],[Working_Age_Pop]]</f>
        <v>0.78654090267911536</v>
      </c>
      <c r="O32" s="2">
        <v>0.73299999999999998</v>
      </c>
      <c r="P32" s="2">
        <v>0.26700000000000002</v>
      </c>
      <c r="Q32" s="1">
        <v>3587437</v>
      </c>
      <c r="R32" s="2">
        <v>7.0000000000000007E-2</v>
      </c>
      <c r="S32" s="2">
        <v>7.6999999999999999E-2</v>
      </c>
      <c r="T32" s="2">
        <v>3.3000000000000002E-2</v>
      </c>
      <c r="U32" s="2">
        <v>8.7999999999999995E-2</v>
      </c>
      <c r="V32" s="1">
        <v>4929127</v>
      </c>
      <c r="W32" s="9">
        <v>2022</v>
      </c>
      <c r="X32" s="9" t="s">
        <v>154</v>
      </c>
    </row>
    <row r="33" spans="1:24" x14ac:dyDescent="0.35">
      <c r="A33" t="s">
        <v>93</v>
      </c>
      <c r="B33" t="s">
        <v>38</v>
      </c>
      <c r="C33" t="s">
        <v>39</v>
      </c>
      <c r="D33" t="s">
        <v>94</v>
      </c>
      <c r="E33">
        <v>4717305</v>
      </c>
      <c r="F33">
        <v>2308911</v>
      </c>
      <c r="G33">
        <v>2408394</v>
      </c>
      <c r="H33" s="1">
        <v>2072704</v>
      </c>
      <c r="I33" s="1">
        <v>1919762</v>
      </c>
      <c r="J33" s="1">
        <v>152942</v>
      </c>
      <c r="K33" s="2">
        <f>tblLabour2022[[#This Row],[Unemployed]]/tblLabour2022[[#This Row],[Labour_Force]]</f>
        <v>7.3788635521521651E-2</v>
      </c>
      <c r="L33" s="2">
        <v>0.26100000000000001</v>
      </c>
      <c r="M33" s="15">
        <f>tblLabour2022[[#This Row],[Labour_Force]]/tblLabour2022[[#This Row],[Working_Age_Pop]]</f>
        <v>0.85840114966806236</v>
      </c>
      <c r="N33" s="15">
        <f>tblLabour2022[[#This Row],[Employed]]/tblLabour2022[[#This Row],[Working_Age_Pop]]</f>
        <v>0.79506090010395059</v>
      </c>
      <c r="O33" s="2">
        <v>0.79400000000000004</v>
      </c>
      <c r="P33" s="2">
        <v>0.20599999999999999</v>
      </c>
      <c r="Q33" s="1">
        <v>1823885</v>
      </c>
      <c r="R33" s="2">
        <v>0.107</v>
      </c>
      <c r="S33" s="2">
        <v>0.38800000000000001</v>
      </c>
      <c r="T33" s="2">
        <v>0.123</v>
      </c>
      <c r="U33" s="2">
        <v>0.42</v>
      </c>
      <c r="V33" s="1">
        <v>2414610</v>
      </c>
      <c r="W33" s="9">
        <v>2022</v>
      </c>
      <c r="X33" s="9" t="s">
        <v>154</v>
      </c>
    </row>
    <row r="34" spans="1:24" x14ac:dyDescent="0.35">
      <c r="A34" t="s">
        <v>95</v>
      </c>
      <c r="B34" t="s">
        <v>28</v>
      </c>
      <c r="C34" t="s">
        <v>29</v>
      </c>
      <c r="D34" t="s">
        <v>96</v>
      </c>
      <c r="E34">
        <v>7476805</v>
      </c>
      <c r="F34">
        <v>3791238</v>
      </c>
      <c r="G34">
        <v>3685567</v>
      </c>
      <c r="H34" s="1">
        <v>3007028</v>
      </c>
      <c r="I34" s="1">
        <v>2603666</v>
      </c>
      <c r="J34" s="1">
        <v>403361</v>
      </c>
      <c r="K34" s="2">
        <f>tblLabour2022[[#This Row],[Unemployed]]/tblLabour2022[[#This Row],[Labour_Force]]</f>
        <v>0.13413942271239243</v>
      </c>
      <c r="L34" s="2">
        <v>0.17599999999999999</v>
      </c>
      <c r="M34" s="15">
        <f>tblLabour2022[[#This Row],[Labour_Force]]/tblLabour2022[[#This Row],[Working_Age_Pop]]</f>
        <v>0.64313351750977255</v>
      </c>
      <c r="N34" s="15">
        <f>tblLabour2022[[#This Row],[Employed]]/tblLabour2022[[#This Row],[Working_Age_Pop]]</f>
        <v>0.55686374486722423</v>
      </c>
      <c r="O34" s="2">
        <v>0.73499999999999999</v>
      </c>
      <c r="P34" s="2">
        <v>0.26500000000000001</v>
      </c>
      <c r="Q34" s="1">
        <v>2267303</v>
      </c>
      <c r="R34" s="2">
        <v>0.36</v>
      </c>
      <c r="S34" s="2">
        <v>0.17799999999999999</v>
      </c>
      <c r="T34" s="2">
        <v>0.158</v>
      </c>
      <c r="U34" s="2">
        <v>0.20100000000000001</v>
      </c>
      <c r="V34" s="1">
        <v>4675589</v>
      </c>
      <c r="W34" s="9">
        <v>2022</v>
      </c>
      <c r="X34" s="9" t="s">
        <v>154</v>
      </c>
    </row>
    <row r="35" spans="1:24" x14ac:dyDescent="0.35">
      <c r="A35" t="s">
        <v>97</v>
      </c>
      <c r="B35" t="s">
        <v>64</v>
      </c>
      <c r="C35" t="s">
        <v>65</v>
      </c>
      <c r="D35" t="s">
        <v>98</v>
      </c>
      <c r="E35">
        <v>6391047</v>
      </c>
      <c r="F35">
        <v>3153501</v>
      </c>
      <c r="G35">
        <v>3237546</v>
      </c>
      <c r="H35" s="1">
        <v>2512677</v>
      </c>
      <c r="I35" s="1">
        <v>2482462</v>
      </c>
      <c r="J35" s="1">
        <v>30215</v>
      </c>
      <c r="K35" s="2">
        <f>tblLabour2022[[#This Row],[Unemployed]]/tblLabour2022[[#This Row],[Labour_Force]]</f>
        <v>1.2025023510781529E-2</v>
      </c>
      <c r="L35" s="2">
        <v>0.192</v>
      </c>
      <c r="M35" s="15">
        <f>tblLabour2022[[#This Row],[Labour_Force]]/tblLabour2022[[#This Row],[Working_Age_Pop]]</f>
        <v>0.83135652607777577</v>
      </c>
      <c r="N35" s="15">
        <f>tblLabour2022[[#This Row],[Employed]]/tblLabour2022[[#This Row],[Working_Age_Pop]]</f>
        <v>0.82135944430584884</v>
      </c>
      <c r="O35" s="2">
        <v>0.96199999999999997</v>
      </c>
      <c r="P35" s="2">
        <v>3.7999999999999999E-2</v>
      </c>
      <c r="Q35" s="1">
        <v>2396374</v>
      </c>
      <c r="R35" s="2">
        <v>0.123</v>
      </c>
      <c r="S35" s="2">
        <v>2.4E-2</v>
      </c>
      <c r="T35" s="2">
        <v>1.4E-2</v>
      </c>
      <c r="U35" s="2">
        <v>2.5999999999999999E-2</v>
      </c>
      <c r="V35" s="1">
        <v>3022382</v>
      </c>
      <c r="W35" s="9">
        <v>2022</v>
      </c>
      <c r="X35" s="9" t="s">
        <v>154</v>
      </c>
    </row>
    <row r="36" spans="1:24" x14ac:dyDescent="0.35">
      <c r="A36" t="s">
        <v>99</v>
      </c>
      <c r="B36" t="s">
        <v>24</v>
      </c>
      <c r="C36" t="s">
        <v>25</v>
      </c>
      <c r="D36" t="s">
        <v>100</v>
      </c>
      <c r="E36">
        <v>3609843</v>
      </c>
      <c r="F36">
        <v>1809411</v>
      </c>
      <c r="G36">
        <v>1800432</v>
      </c>
      <c r="H36" s="1">
        <v>1352841</v>
      </c>
      <c r="I36" s="1">
        <v>1327084</v>
      </c>
      <c r="J36" s="1">
        <v>25757</v>
      </c>
      <c r="K36" s="2">
        <f>tblLabour2022[[#This Row],[Unemployed]]/tblLabour2022[[#This Row],[Labour_Force]]</f>
        <v>1.9039192336719541E-2</v>
      </c>
      <c r="L36" s="2">
        <v>0.36199999999999999</v>
      </c>
      <c r="M36" s="15">
        <f>tblLabour2022[[#This Row],[Labour_Force]]/tblLabour2022[[#This Row],[Working_Age_Pop]]</f>
        <v>0.71884187498970498</v>
      </c>
      <c r="N36" s="15">
        <f>tblLabour2022[[#This Row],[Employed]]/tblLabour2022[[#This Row],[Working_Age_Pop]]</f>
        <v>0.7051557062720879</v>
      </c>
      <c r="O36" s="2">
        <v>0.89500000000000002</v>
      </c>
      <c r="P36" s="2">
        <v>0.105</v>
      </c>
      <c r="Q36" s="1">
        <v>1275071</v>
      </c>
      <c r="R36" s="2">
        <v>0.14599999999999999</v>
      </c>
      <c r="S36" s="2">
        <v>0.23899999999999999</v>
      </c>
      <c r="T36" s="2">
        <v>8.3000000000000004E-2</v>
      </c>
      <c r="U36" s="2">
        <v>0.28899999999999998</v>
      </c>
      <c r="V36" s="1">
        <v>1881973</v>
      </c>
      <c r="W36" s="9">
        <v>2022</v>
      </c>
      <c r="X36" s="9" t="s">
        <v>154</v>
      </c>
    </row>
    <row r="37" spans="1:24" x14ac:dyDescent="0.35">
      <c r="A37" t="s">
        <v>101</v>
      </c>
      <c r="B37" t="s">
        <v>24</v>
      </c>
      <c r="C37" t="s">
        <v>25</v>
      </c>
      <c r="D37" t="s">
        <v>102</v>
      </c>
      <c r="E37">
        <v>3649607</v>
      </c>
      <c r="F37">
        <v>1854775</v>
      </c>
      <c r="G37">
        <v>1794832</v>
      </c>
      <c r="H37" s="1">
        <v>1459741</v>
      </c>
      <c r="I37" s="1">
        <v>1410946</v>
      </c>
      <c r="J37" s="1">
        <v>48795</v>
      </c>
      <c r="K37" s="2">
        <f>tblLabour2022[[#This Row],[Unemployed]]/tblLabour2022[[#This Row],[Labour_Force]]</f>
        <v>3.3427162763805363E-2</v>
      </c>
      <c r="L37" s="2">
        <v>0.215</v>
      </c>
      <c r="M37" s="15">
        <f>tblLabour2022[[#This Row],[Labour_Force]]/tblLabour2022[[#This Row],[Working_Age_Pop]]</f>
        <v>0.83473538482124632</v>
      </c>
      <c r="N37" s="15">
        <f>tblLabour2022[[#This Row],[Employed]]/tblLabour2022[[#This Row],[Working_Age_Pop]]</f>
        <v>0.80683254924811876</v>
      </c>
      <c r="O37" s="2">
        <v>0.92900000000000005</v>
      </c>
      <c r="P37" s="2">
        <v>7.0999999999999994E-2</v>
      </c>
      <c r="Q37" s="1">
        <v>1369419</v>
      </c>
      <c r="R37" s="2">
        <v>0.126</v>
      </c>
      <c r="S37" s="2">
        <v>0.32200000000000001</v>
      </c>
      <c r="T37" s="2">
        <v>6.2E-2</v>
      </c>
      <c r="U37" s="2">
        <v>0.34200000000000003</v>
      </c>
      <c r="V37" s="1">
        <v>1748747</v>
      </c>
      <c r="W37" s="9">
        <v>2022</v>
      </c>
      <c r="X37" s="9" t="s">
        <v>154</v>
      </c>
    </row>
    <row r="38" spans="1:24" x14ac:dyDescent="0.35">
      <c r="A38" t="s">
        <v>103</v>
      </c>
      <c r="B38" t="s">
        <v>64</v>
      </c>
      <c r="C38" t="s">
        <v>65</v>
      </c>
      <c r="D38" t="s">
        <v>104</v>
      </c>
      <c r="E38">
        <v>5833494</v>
      </c>
      <c r="F38">
        <v>2873601</v>
      </c>
      <c r="G38">
        <v>2959893</v>
      </c>
      <c r="H38" s="1">
        <v>1797094</v>
      </c>
      <c r="I38" s="1">
        <v>1741263</v>
      </c>
      <c r="J38" s="1">
        <v>55831</v>
      </c>
      <c r="K38" s="2">
        <f>tblLabour2022[[#This Row],[Unemployed]]/tblLabour2022[[#This Row],[Labour_Force]]</f>
        <v>3.1067378779295909E-2</v>
      </c>
      <c r="L38" s="2">
        <v>0.41699999999999998</v>
      </c>
      <c r="M38" s="15">
        <f>tblLabour2022[[#This Row],[Labour_Force]]/tblLabour2022[[#This Row],[Working_Age_Pop]]</f>
        <v>0.66088049537334304</v>
      </c>
      <c r="N38" s="15">
        <f>tblLabour2022[[#This Row],[Employed]]/tblLabour2022[[#This Row],[Working_Age_Pop]]</f>
        <v>0.64034867069573065</v>
      </c>
      <c r="O38" s="2">
        <v>0.95299999999999996</v>
      </c>
      <c r="P38" s="2">
        <v>4.7E-2</v>
      </c>
      <c r="Q38" s="1">
        <v>1638934</v>
      </c>
      <c r="R38" s="2">
        <v>4.4999999999999998E-2</v>
      </c>
      <c r="S38" s="2">
        <v>0.151</v>
      </c>
      <c r="T38" s="2">
        <v>3.5000000000000003E-2</v>
      </c>
      <c r="U38" s="2">
        <v>0.154</v>
      </c>
      <c r="V38" s="1">
        <v>2719242</v>
      </c>
      <c r="W38" s="9">
        <v>2022</v>
      </c>
      <c r="X38" s="9" t="s">
        <v>154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5CDE-EA4A-4D6A-85CF-EB7766F8943B}">
  <dimension ref="A1:AA38"/>
  <sheetViews>
    <sheetView workbookViewId="0">
      <selection activeCell="F1" sqref="F1"/>
    </sheetView>
  </sheetViews>
  <sheetFormatPr defaultColWidth="9.08984375" defaultRowHeight="14.5" x14ac:dyDescent="0.35"/>
  <cols>
    <col min="1" max="1" width="14.90625" style="3" customWidth="1"/>
    <col min="2" max="2" width="18.6328125" style="3" bestFit="1" customWidth="1"/>
    <col min="3" max="4" width="14.90625" style="3" customWidth="1"/>
    <col min="5" max="5" width="23.54296875" style="4" bestFit="1" customWidth="1"/>
    <col min="6" max="6" width="23.54296875" style="4" customWidth="1"/>
    <col min="7" max="7" width="19.81640625" style="4" bestFit="1" customWidth="1"/>
    <col min="8" max="8" width="14.81640625" style="4" bestFit="1" customWidth="1"/>
    <col min="9" max="9" width="14.81640625" style="4" customWidth="1"/>
    <col min="10" max="10" width="6.54296875" style="14" bestFit="1" customWidth="1"/>
    <col min="11" max="11" width="7.453125" style="14" bestFit="1" customWidth="1"/>
    <col min="12" max="14" width="7.453125" style="14" customWidth="1"/>
    <col min="15" max="15" width="15.26953125" style="4" bestFit="1" customWidth="1"/>
    <col min="16" max="16" width="17.08984375" style="4" bestFit="1" customWidth="1"/>
    <col min="17" max="17" width="15.6328125" style="4" bestFit="1" customWidth="1"/>
    <col min="18" max="18" width="12.7265625" style="4" bestFit="1" customWidth="1"/>
    <col min="19" max="19" width="15.90625" style="4" bestFit="1" customWidth="1"/>
    <col min="20" max="20" width="12.7265625" style="4" customWidth="1"/>
    <col min="21" max="21" width="22.1796875" style="4" bestFit="1" customWidth="1"/>
    <col min="22" max="22" width="18.6328125" style="4" bestFit="1" customWidth="1"/>
    <col min="23" max="23" width="20.54296875" style="3" bestFit="1" customWidth="1"/>
    <col min="24" max="24" width="23.81640625" style="3" bestFit="1" customWidth="1"/>
    <col min="25" max="25" width="9.36328125" style="13" bestFit="1" customWidth="1"/>
    <col min="26" max="26" width="9.08984375" style="3"/>
    <col min="27" max="27" width="2.36328125" style="3" bestFit="1" customWidth="1"/>
    <col min="28" max="16384" width="9.08984375" style="3"/>
  </cols>
  <sheetData>
    <row r="1" spans="1:26" x14ac:dyDescent="0.35">
      <c r="A1" s="3" t="s">
        <v>0</v>
      </c>
      <c r="B1" s="3" t="s">
        <v>1</v>
      </c>
      <c r="C1" s="3" t="s">
        <v>2</v>
      </c>
      <c r="D1" s="3" t="s">
        <v>3</v>
      </c>
      <c r="E1" t="s">
        <v>18</v>
      </c>
      <c r="F1" t="s">
        <v>5</v>
      </c>
      <c r="G1" s="4" t="s">
        <v>106</v>
      </c>
      <c r="H1" s="4" t="s">
        <v>4</v>
      </c>
      <c r="I1" t="s">
        <v>14</v>
      </c>
      <c r="J1" s="14" t="s">
        <v>10</v>
      </c>
      <c r="K1" s="14" t="s">
        <v>9</v>
      </c>
      <c r="L1" s="14" t="s">
        <v>15</v>
      </c>
      <c r="M1" s="14" t="s">
        <v>16</v>
      </c>
      <c r="N1" s="14" t="s">
        <v>17</v>
      </c>
      <c r="O1" s="4" t="s">
        <v>108</v>
      </c>
      <c r="P1" s="4" t="s">
        <v>109</v>
      </c>
      <c r="Q1" s="4" t="s">
        <v>110</v>
      </c>
      <c r="R1" s="4" t="s">
        <v>111</v>
      </c>
      <c r="S1" s="4" t="s">
        <v>11</v>
      </c>
      <c r="T1" s="4" t="s">
        <v>12</v>
      </c>
      <c r="U1" s="4" t="s">
        <v>13</v>
      </c>
      <c r="V1" s="4" t="s">
        <v>6</v>
      </c>
      <c r="W1" s="3" t="s">
        <v>7</v>
      </c>
      <c r="X1" s="3" t="s">
        <v>166</v>
      </c>
      <c r="Y1" s="10" t="s">
        <v>151</v>
      </c>
      <c r="Z1" s="3" t="s">
        <v>152</v>
      </c>
    </row>
    <row r="2" spans="1:26" x14ac:dyDescent="0.35">
      <c r="A2" s="5" t="s">
        <v>19</v>
      </c>
      <c r="B2" s="5" t="s">
        <v>20</v>
      </c>
      <c r="C2" s="5" t="s">
        <v>21</v>
      </c>
      <c r="D2" s="5" t="s">
        <v>113</v>
      </c>
      <c r="E2" s="6">
        <v>2406004.7000000002</v>
      </c>
      <c r="F2" s="7">
        <f>tblLabour2020[[#This Row],[Labour_Force]]-tblLabour2020[[#This Row],[Unemployed]]</f>
        <v>816540.5</v>
      </c>
      <c r="G2" s="7">
        <f>tblLabour2020[[#This Row],[Working_Age_Pop]]-tblLabour2020[[#This Row],[Labour_Force]]</f>
        <v>770538.20000000019</v>
      </c>
      <c r="H2" s="4">
        <v>1635466.5</v>
      </c>
      <c r="J2" s="14">
        <f>tblLabour2020[[#This Row],[Employed]]/tblLabour2020[[#This Row],[Working_Age_Pop]]</f>
        <v>0.33937610346313951</v>
      </c>
      <c r="K2" s="14">
        <f>tblLabour2020[[#This Row],[Labour_Force]]/tblLabour2020[[#This Row],[Working_Age_Pop]]</f>
        <v>0.67974368462372492</v>
      </c>
      <c r="O2" s="4">
        <v>557064</v>
      </c>
      <c r="P2" s="4">
        <v>259476.6</v>
      </c>
      <c r="Q2" s="4">
        <v>455056.6</v>
      </c>
      <c r="R2" s="4">
        <v>363869.4</v>
      </c>
      <c r="V2" s="4">
        <f>tblLabour2020[[#This Row],[Work 1-19 Hrs]]+tblLabour2020[[#This Row],[Did nothing]]</f>
        <v>818926</v>
      </c>
      <c r="W2" s="8">
        <f>tblLabour2020[[#This Row],[Unemployed]]/tblLabour2020[[#This Row],[Labour_Force]]</f>
        <v>0.50072930261793802</v>
      </c>
      <c r="X2" s="8">
        <f>tblLabour2020[[#This Row],[Work 20 -39 Hrs]]/tblLabour2020[[#This Row],[Labour_Force]]</f>
        <v>0.15865601649437638</v>
      </c>
      <c r="Y2" s="10">
        <v>2020</v>
      </c>
      <c r="Z2" s="4" t="s">
        <v>153</v>
      </c>
    </row>
    <row r="3" spans="1:26" x14ac:dyDescent="0.35">
      <c r="A3" s="5" t="s">
        <v>23</v>
      </c>
      <c r="B3" s="5" t="s">
        <v>24</v>
      </c>
      <c r="C3" s="5" t="s">
        <v>25</v>
      </c>
      <c r="D3" s="5" t="s">
        <v>114</v>
      </c>
      <c r="E3" s="6">
        <v>2895302.8</v>
      </c>
      <c r="F3" s="7">
        <f>tblLabour2020[[#This Row],[Labour_Force]]-tblLabour2020[[#This Row],[Unemployed]]</f>
        <v>739376.60000000009</v>
      </c>
      <c r="G3" s="7">
        <f>tblLabour2020[[#This Row],[Working_Age_Pop]]-tblLabour2020[[#This Row],[Labour_Force]]</f>
        <v>1256289.9999999998</v>
      </c>
      <c r="H3" s="4">
        <v>1639012.8</v>
      </c>
      <c r="J3" s="14">
        <f>tblLabour2020[[#This Row],[Employed]]/tblLabour2020[[#This Row],[Working_Age_Pop]]</f>
        <v>0.25537107897661004</v>
      </c>
      <c r="K3" s="14">
        <f>tblLabour2020[[#This Row],[Labour_Force]]/tblLabour2020[[#This Row],[Working_Age_Pop]]</f>
        <v>0.56609374328653994</v>
      </c>
      <c r="O3" s="4">
        <v>334964.09999999998</v>
      </c>
      <c r="P3" s="4">
        <v>404412.6</v>
      </c>
      <c r="Q3" s="4">
        <v>175388.2</v>
      </c>
      <c r="R3" s="4">
        <v>724248</v>
      </c>
      <c r="V3" s="4">
        <f>tblLabour2020[[#This Row],[Work 1-19 Hrs]]+tblLabour2020[[#This Row],[Did nothing]]</f>
        <v>899636.2</v>
      </c>
      <c r="W3" s="8">
        <f>tblLabour2020[[#This Row],[Unemployed]]/tblLabour2020[[#This Row],[Labour_Force]]</f>
        <v>0.54888906297742146</v>
      </c>
      <c r="X3" s="8">
        <f>tblLabour2020[[#This Row],[Work 20 -39 Hrs]]/tblLabour2020[[#This Row],[Labour_Force]]</f>
        <v>0.24674157517256726</v>
      </c>
      <c r="Y3" s="10">
        <v>2020</v>
      </c>
      <c r="Z3" s="4" t="s">
        <v>153</v>
      </c>
    </row>
    <row r="4" spans="1:26" x14ac:dyDescent="0.35">
      <c r="A4" s="5" t="s">
        <v>27</v>
      </c>
      <c r="B4" s="5" t="s">
        <v>28</v>
      </c>
      <c r="C4" s="5" t="s">
        <v>29</v>
      </c>
      <c r="D4" s="5" t="s">
        <v>115</v>
      </c>
      <c r="E4" s="6">
        <v>3682086.1</v>
      </c>
      <c r="F4" s="7">
        <f>tblLabour2020[[#This Row],[Labour_Force]]-tblLabour2020[[#This Row],[Unemployed]]</f>
        <v>1212916.6100000003</v>
      </c>
      <c r="G4" s="7">
        <f>tblLabour2020[[#This Row],[Working_Age_Pop]]-tblLabour2020[[#This Row],[Labour_Force]]</f>
        <v>1206564.3999999999</v>
      </c>
      <c r="H4" s="4">
        <v>2475521.7000000002</v>
      </c>
      <c r="J4" s="14">
        <f>tblLabour2020[[#This Row],[Employed]]/tblLabour2020[[#This Row],[Working_Age_Pop]]</f>
        <v>0.32941017050090171</v>
      </c>
      <c r="K4" s="14">
        <f>tblLabour2020[[#This Row],[Labour_Force]]/tblLabour2020[[#This Row],[Working_Age_Pop]]</f>
        <v>0.67231499556732255</v>
      </c>
      <c r="O4" s="4">
        <v>799644.4</v>
      </c>
      <c r="P4" s="4">
        <v>413272.16</v>
      </c>
      <c r="Q4" s="4">
        <v>530593.9</v>
      </c>
      <c r="R4" s="4">
        <v>732011.19</v>
      </c>
      <c r="V4" s="4">
        <f>tblLabour2020[[#This Row],[Work 1-19 Hrs]]+tblLabour2020[[#This Row],[Did nothing]]</f>
        <v>1262605.0899999999</v>
      </c>
      <c r="W4" s="8">
        <f>tblLabour2020[[#This Row],[Unemployed]]/tblLabour2020[[#This Row],[Labour_Force]]</f>
        <v>0.51003596130868079</v>
      </c>
      <c r="X4" s="8">
        <f>tblLabour2020[[#This Row],[Work 20 -39 Hrs]]/tblLabour2020[[#This Row],[Labour_Force]]</f>
        <v>0.16694346084706102</v>
      </c>
      <c r="Y4" s="10">
        <v>2020</v>
      </c>
      <c r="Z4" s="4" t="s">
        <v>153</v>
      </c>
    </row>
    <row r="5" spans="1:26" x14ac:dyDescent="0.35">
      <c r="A5" s="5" t="s">
        <v>31</v>
      </c>
      <c r="B5" s="5" t="s">
        <v>20</v>
      </c>
      <c r="C5" s="5" t="s">
        <v>21</v>
      </c>
      <c r="D5" s="5" t="s">
        <v>116</v>
      </c>
      <c r="E5" s="6">
        <v>3570605.2</v>
      </c>
      <c r="F5" s="7">
        <f>tblLabour2020[[#This Row],[Labour_Force]]-tblLabour2020[[#This Row],[Unemployed]]</f>
        <v>1199736.8199999998</v>
      </c>
      <c r="G5" s="7">
        <f>tblLabour2020[[#This Row],[Working_Age_Pop]]-tblLabour2020[[#This Row],[Labour_Force]]</f>
        <v>1419809.3000000003</v>
      </c>
      <c r="H5" s="4">
        <v>2150795.9</v>
      </c>
      <c r="J5" s="14">
        <f>tblLabour2020[[#This Row],[Employed]]/tblLabour2020[[#This Row],[Working_Age_Pop]]</f>
        <v>0.33600377325390096</v>
      </c>
      <c r="K5" s="14">
        <f>tblLabour2020[[#This Row],[Labour_Force]]/tblLabour2020[[#This Row],[Working_Age_Pop]]</f>
        <v>0.60236172288103984</v>
      </c>
      <c r="O5" s="4">
        <v>845310.49</v>
      </c>
      <c r="P5" s="4">
        <v>354426.3</v>
      </c>
      <c r="Q5" s="4">
        <v>446142.6</v>
      </c>
      <c r="R5" s="4">
        <v>504916.47999999998</v>
      </c>
      <c r="V5" s="4">
        <f>tblLabour2020[[#This Row],[Work 1-19 Hrs]]+tblLabour2020[[#This Row],[Did nothing]]</f>
        <v>951059.08</v>
      </c>
      <c r="W5" s="8">
        <f>tblLabour2020[[#This Row],[Unemployed]]/tblLabour2020[[#This Row],[Labour_Force]]</f>
        <v>0.44218936813111837</v>
      </c>
      <c r="X5" s="8">
        <f>tblLabour2020[[#This Row],[Work 20 -39 Hrs]]/tblLabour2020[[#This Row],[Labour_Force]]</f>
        <v>0.16478843947954336</v>
      </c>
      <c r="Y5" s="10">
        <v>2020</v>
      </c>
      <c r="Z5" s="4" t="s">
        <v>153</v>
      </c>
    </row>
    <row r="6" spans="1:26" x14ac:dyDescent="0.35">
      <c r="A6" s="5" t="s">
        <v>33</v>
      </c>
      <c r="B6" s="5" t="s">
        <v>24</v>
      </c>
      <c r="C6" s="5" t="s">
        <v>25</v>
      </c>
      <c r="D6" s="5" t="s">
        <v>117</v>
      </c>
      <c r="E6" s="6">
        <v>3261495.1</v>
      </c>
      <c r="F6" s="7">
        <f>tblLabour2020[[#This Row],[Labour_Force]]-tblLabour2020[[#This Row],[Unemployed]]</f>
        <v>1179101.6000000001</v>
      </c>
      <c r="G6" s="7">
        <f>tblLabour2020[[#This Row],[Working_Age_Pop]]-tblLabour2020[[#This Row],[Labour_Force]]</f>
        <v>1468866.3</v>
      </c>
      <c r="H6" s="4">
        <v>1792628.8</v>
      </c>
      <c r="J6" s="14">
        <f>tblLabour2020[[#This Row],[Employed]]/tblLabour2020[[#This Row],[Working_Age_Pop]]</f>
        <v>0.36152180636420395</v>
      </c>
      <c r="K6" s="14">
        <f>tblLabour2020[[#This Row],[Labour_Force]]/tblLabour2020[[#This Row],[Working_Age_Pop]]</f>
        <v>0.54963406199813081</v>
      </c>
      <c r="O6" s="4">
        <v>641220.19999999995</v>
      </c>
      <c r="P6" s="4">
        <v>537881.4</v>
      </c>
      <c r="Q6" s="4">
        <v>375818.6</v>
      </c>
      <c r="R6" s="4">
        <v>237708.6</v>
      </c>
      <c r="V6" s="4">
        <f>tblLabour2020[[#This Row],[Work 1-19 Hrs]]+tblLabour2020[[#This Row],[Did nothing]]</f>
        <v>613527.19999999995</v>
      </c>
      <c r="W6" s="8">
        <f>tblLabour2020[[#This Row],[Unemployed]]/tblLabour2020[[#This Row],[Labour_Force]]</f>
        <v>0.34224999620668817</v>
      </c>
      <c r="X6" s="8">
        <f>tblLabour2020[[#This Row],[Work 20 -39 Hrs]]/tblLabour2020[[#This Row],[Labour_Force]]</f>
        <v>0.30005174523582351</v>
      </c>
      <c r="Y6" s="10">
        <v>2020</v>
      </c>
      <c r="Z6" s="4" t="s">
        <v>153</v>
      </c>
    </row>
    <row r="7" spans="1:26" x14ac:dyDescent="0.35">
      <c r="A7" s="5" t="s">
        <v>35</v>
      </c>
      <c r="B7" s="5" t="s">
        <v>28</v>
      </c>
      <c r="C7" s="5" t="s">
        <v>29</v>
      </c>
      <c r="D7" s="5" t="s">
        <v>118</v>
      </c>
      <c r="E7" s="6">
        <v>1480446.34</v>
      </c>
      <c r="F7" s="7">
        <f>tblLabour2020[[#This Row],[Labour_Force]]-tblLabour2020[[#This Row],[Unemployed]]</f>
        <v>604681.89</v>
      </c>
      <c r="G7" s="7">
        <f>tblLabour2020[[#This Row],[Working_Age_Pop]]-tblLabour2020[[#This Row],[Labour_Force]]</f>
        <v>525415.54</v>
      </c>
      <c r="H7" s="4">
        <v>955030.8</v>
      </c>
      <c r="J7" s="14">
        <f>tblLabour2020[[#This Row],[Employed]]/tblLabour2020[[#This Row],[Working_Age_Pop]]</f>
        <v>0.40844566510934804</v>
      </c>
      <c r="K7" s="14">
        <f>tblLabour2020[[#This Row],[Labour_Force]]/tblLabour2020[[#This Row],[Working_Age_Pop]]</f>
        <v>0.64509653217150709</v>
      </c>
      <c r="O7" s="4">
        <v>315843.59999999998</v>
      </c>
      <c r="P7" s="4">
        <v>288838.40000000002</v>
      </c>
      <c r="Q7" s="4">
        <v>145233.9</v>
      </c>
      <c r="R7" s="4">
        <v>205115.01</v>
      </c>
      <c r="V7" s="4">
        <f>tblLabour2020[[#This Row],[Work 1-19 Hrs]]+tblLabour2020[[#This Row],[Did nothing]]</f>
        <v>350348.91000000003</v>
      </c>
      <c r="W7" s="8">
        <f>tblLabour2020[[#This Row],[Unemployed]]/tblLabour2020[[#This Row],[Labour_Force]]</f>
        <v>0.36684566612930181</v>
      </c>
      <c r="X7" s="8">
        <f>tblLabour2020[[#This Row],[Work 20 -39 Hrs]]/tblLabour2020[[#This Row],[Labour_Force]]</f>
        <v>0.3024388323392293</v>
      </c>
      <c r="Y7" s="10">
        <v>2020</v>
      </c>
      <c r="Z7" s="4" t="s">
        <v>153</v>
      </c>
    </row>
    <row r="8" spans="1:26" x14ac:dyDescent="0.35">
      <c r="A8" s="5" t="s">
        <v>37</v>
      </c>
      <c r="B8" s="5" t="s">
        <v>38</v>
      </c>
      <c r="C8" s="5" t="s">
        <v>39</v>
      </c>
      <c r="D8" s="5" t="s">
        <v>119</v>
      </c>
      <c r="E8" s="6">
        <v>3836244.2</v>
      </c>
      <c r="F8" s="7">
        <f>tblLabour2020[[#This Row],[Labour_Force]]-tblLabour2020[[#This Row],[Unemployed]]</f>
        <v>2493637</v>
      </c>
      <c r="G8" s="7">
        <f>tblLabour2020[[#This Row],[Working_Age_Pop]]-tblLabour2020[[#This Row],[Labour_Force]]</f>
        <v>1003295.8000000003</v>
      </c>
      <c r="H8" s="4">
        <v>2832948.4</v>
      </c>
      <c r="J8" s="14">
        <f>tblLabour2020[[#This Row],[Employed]]/tblLabour2020[[#This Row],[Working_Age_Pop]]</f>
        <v>0.65002040276789463</v>
      </c>
      <c r="K8" s="14">
        <f>tblLabour2020[[#This Row],[Labour_Force]]/tblLabour2020[[#This Row],[Working_Age_Pop]]</f>
        <v>0.73846925594569812</v>
      </c>
      <c r="O8" s="4">
        <v>1260804.3</v>
      </c>
      <c r="P8" s="4">
        <v>1232832.7</v>
      </c>
      <c r="Q8" s="4">
        <v>135238</v>
      </c>
      <c r="R8" s="4">
        <v>204073.4</v>
      </c>
      <c r="V8" s="4">
        <f>tblLabour2020[[#This Row],[Work 1-19 Hrs]]+tblLabour2020[[#This Row],[Did nothing]]</f>
        <v>339311.4</v>
      </c>
      <c r="W8" s="8">
        <f>tblLabour2020[[#This Row],[Unemployed]]/tblLabour2020[[#This Row],[Labour_Force]]</f>
        <v>0.11977323695694564</v>
      </c>
      <c r="X8" s="8">
        <f>tblLabour2020[[#This Row],[Work 20 -39 Hrs]]/tblLabour2020[[#This Row],[Labour_Force]]</f>
        <v>0.43517654610299289</v>
      </c>
      <c r="Y8" s="10">
        <v>2020</v>
      </c>
      <c r="Z8" s="4" t="s">
        <v>153</v>
      </c>
    </row>
    <row r="9" spans="1:26" x14ac:dyDescent="0.35">
      <c r="A9" s="5" t="s">
        <v>41</v>
      </c>
      <c r="B9" s="5" t="s">
        <v>24</v>
      </c>
      <c r="C9" s="5" t="s">
        <v>25</v>
      </c>
      <c r="D9" s="5" t="s">
        <v>120</v>
      </c>
      <c r="E9" s="6">
        <v>1873371.4</v>
      </c>
      <c r="F9" s="7">
        <f>tblLabour2020[[#This Row],[Labour_Force]]-tblLabour2020[[#This Row],[Unemployed]]</f>
        <v>602246</v>
      </c>
      <c r="G9" s="7">
        <f>tblLabour2020[[#This Row],[Working_Age_Pop]]-tblLabour2020[[#This Row],[Labour_Force]]</f>
        <v>812216.39999999991</v>
      </c>
      <c r="H9" s="4">
        <v>1061155</v>
      </c>
      <c r="J9" s="14">
        <f>tblLabour2020[[#This Row],[Employed]]/tblLabour2020[[#This Row],[Working_Age_Pop]]</f>
        <v>0.32147709738709579</v>
      </c>
      <c r="K9" s="14">
        <f>tblLabour2020[[#This Row],[Labour_Force]]/tblLabour2020[[#This Row],[Working_Age_Pop]]</f>
        <v>0.56644133672586228</v>
      </c>
      <c r="O9" s="4">
        <v>349193</v>
      </c>
      <c r="P9" s="4">
        <v>253053</v>
      </c>
      <c r="Q9" s="4">
        <v>285943.09999999998</v>
      </c>
      <c r="R9" s="4">
        <v>172965.9</v>
      </c>
      <c r="V9" s="4">
        <f>tblLabour2020[[#This Row],[Work 1-19 Hrs]]+tblLabour2020[[#This Row],[Did nothing]]</f>
        <v>458909</v>
      </c>
      <c r="W9" s="8">
        <f>tblLabour2020[[#This Row],[Unemployed]]/tblLabour2020[[#This Row],[Labour_Force]]</f>
        <v>0.43246179870047258</v>
      </c>
      <c r="X9" s="8">
        <f>tblLabour2020[[#This Row],[Work 20 -39 Hrs]]/tblLabour2020[[#This Row],[Labour_Force]]</f>
        <v>0.23846940362152561</v>
      </c>
      <c r="Y9" s="10">
        <v>2020</v>
      </c>
      <c r="Z9" s="4" t="s">
        <v>153</v>
      </c>
    </row>
    <row r="10" spans="1:26" x14ac:dyDescent="0.35">
      <c r="A10" s="5" t="s">
        <v>43</v>
      </c>
      <c r="B10" s="5" t="s">
        <v>28</v>
      </c>
      <c r="C10" s="5" t="s">
        <v>29</v>
      </c>
      <c r="D10" s="5" t="s">
        <v>121</v>
      </c>
      <c r="E10" s="6">
        <v>2531503.2000000002</v>
      </c>
      <c r="F10" s="7">
        <f>tblLabour2020[[#This Row],[Labour_Force]]-tblLabour2020[[#This Row],[Unemployed]]</f>
        <v>862349.39999999991</v>
      </c>
      <c r="G10" s="7">
        <f>tblLabour2020[[#This Row],[Working_Age_Pop]]-tblLabour2020[[#This Row],[Labour_Force]]</f>
        <v>670951.00000000023</v>
      </c>
      <c r="H10" s="4">
        <v>1860552.2</v>
      </c>
      <c r="J10" s="14">
        <f>tblLabour2020[[#This Row],[Employed]]/tblLabour2020[[#This Row],[Working_Age_Pop]]</f>
        <v>0.34064716963423147</v>
      </c>
      <c r="K10" s="14">
        <f>tblLabour2020[[#This Row],[Labour_Force]]/tblLabour2020[[#This Row],[Working_Age_Pop]]</f>
        <v>0.73495945017964026</v>
      </c>
      <c r="O10" s="4">
        <v>531024.30000000005</v>
      </c>
      <c r="P10" s="4">
        <v>331325.2</v>
      </c>
      <c r="Q10" s="4">
        <v>314314.5</v>
      </c>
      <c r="R10" s="4">
        <v>683888.3</v>
      </c>
      <c r="V10" s="4">
        <f>tblLabour2020[[#This Row],[Work 1-19 Hrs]]+tblLabour2020[[#This Row],[Did nothing]]</f>
        <v>998202.8</v>
      </c>
      <c r="W10" s="8">
        <f>tblLabour2020[[#This Row],[Unemployed]]/tblLabour2020[[#This Row],[Labour_Force]]</f>
        <v>0.53650889236002086</v>
      </c>
      <c r="X10" s="8">
        <f>tblLabour2020[[#This Row],[Work 20 -39 Hrs]]/tblLabour2020[[#This Row],[Labour_Force]]</f>
        <v>0.17807895956909997</v>
      </c>
      <c r="Y10" s="10">
        <v>2020</v>
      </c>
      <c r="Z10" s="4" t="s">
        <v>153</v>
      </c>
    </row>
    <row r="11" spans="1:26" x14ac:dyDescent="0.35">
      <c r="A11" s="5" t="s">
        <v>45</v>
      </c>
      <c r="B11" s="5" t="s">
        <v>28</v>
      </c>
      <c r="C11" s="5" t="s">
        <v>29</v>
      </c>
      <c r="D11" s="5" t="s">
        <v>122</v>
      </c>
      <c r="E11" s="6">
        <v>3937961.5</v>
      </c>
      <c r="F11" s="7">
        <f>tblLabour2020[[#This Row],[Labour_Force]]-tblLabour2020[[#This Row],[Unemployed]]</f>
        <v>1838388.0000000002</v>
      </c>
      <c r="G11" s="7">
        <f>tblLabour2020[[#This Row],[Working_Age_Pop]]-tblLabour2020[[#This Row],[Labour_Force]]</f>
        <v>1268092.2999999998</v>
      </c>
      <c r="H11" s="4">
        <v>2669869.2000000002</v>
      </c>
      <c r="J11" s="14">
        <f>tblLabour2020[[#This Row],[Employed]]/tblLabour2020[[#This Row],[Working_Age_Pop]]</f>
        <v>0.46683747416017152</v>
      </c>
      <c r="K11" s="14">
        <f>tblLabour2020[[#This Row],[Labour_Force]]/tblLabour2020[[#This Row],[Working_Age_Pop]]</f>
        <v>0.67798255518749995</v>
      </c>
      <c r="O11" s="4">
        <v>1197425.5</v>
      </c>
      <c r="P11" s="4">
        <v>640962.5</v>
      </c>
      <c r="Q11" s="4">
        <v>479068.6</v>
      </c>
      <c r="R11" s="4">
        <v>352412.6</v>
      </c>
      <c r="V11" s="4">
        <f>tblLabour2020[[#This Row],[Work 1-19 Hrs]]+tblLabour2020[[#This Row],[Did nothing]]</f>
        <v>831481.2</v>
      </c>
      <c r="W11" s="8">
        <f>tblLabour2020[[#This Row],[Unemployed]]/tblLabour2020[[#This Row],[Labour_Force]]</f>
        <v>0.31143143641643567</v>
      </c>
      <c r="X11" s="8">
        <f>tblLabour2020[[#This Row],[Work 20 -39 Hrs]]/tblLabour2020[[#This Row],[Labour_Force]]</f>
        <v>0.24007262228426768</v>
      </c>
      <c r="Y11" s="10">
        <v>2020</v>
      </c>
      <c r="Z11" s="4" t="s">
        <v>153</v>
      </c>
    </row>
    <row r="12" spans="1:26" x14ac:dyDescent="0.35">
      <c r="A12" s="5" t="s">
        <v>47</v>
      </c>
      <c r="B12" s="5" t="s">
        <v>20</v>
      </c>
      <c r="C12" s="5" t="s">
        <v>21</v>
      </c>
      <c r="D12" s="5" t="s">
        <v>123</v>
      </c>
      <c r="E12" s="6">
        <v>1789130.6</v>
      </c>
      <c r="F12" s="7">
        <f>tblLabour2020[[#This Row],[Labour_Force]]-tblLabour2020[[#This Row],[Unemployed]]</f>
        <v>640261.40000000014</v>
      </c>
      <c r="G12" s="7">
        <f>tblLabour2020[[#This Row],[Working_Age_Pop]]-tblLabour2020[[#This Row],[Labour_Force]]</f>
        <v>719191.5</v>
      </c>
      <c r="H12" s="4">
        <v>1069939.1000000001</v>
      </c>
      <c r="J12" s="14">
        <f>tblLabour2020[[#This Row],[Employed]]/tblLabour2020[[#This Row],[Working_Age_Pop]]</f>
        <v>0.35786174581106606</v>
      </c>
      <c r="K12" s="14">
        <f>tblLabour2020[[#This Row],[Labour_Force]]/tblLabour2020[[#This Row],[Working_Age_Pop]]</f>
        <v>0.59802179896761032</v>
      </c>
      <c r="O12" s="4">
        <v>405094.1</v>
      </c>
      <c r="P12" s="4">
        <v>235167.3</v>
      </c>
      <c r="Q12" s="4">
        <v>241371.7</v>
      </c>
      <c r="R12" s="4">
        <v>188306</v>
      </c>
      <c r="V12" s="4">
        <f>tblLabour2020[[#This Row],[Work 1-19 Hrs]]+tblLabour2020[[#This Row],[Did nothing]]</f>
        <v>429677.7</v>
      </c>
      <c r="W12" s="8">
        <f>tblLabour2020[[#This Row],[Unemployed]]/tblLabour2020[[#This Row],[Labour_Force]]</f>
        <v>0.40159080082221499</v>
      </c>
      <c r="X12" s="8">
        <f>tblLabour2020[[#This Row],[Work 20 -39 Hrs]]/tblLabour2020[[#This Row],[Labour_Force]]</f>
        <v>0.21979503319394531</v>
      </c>
      <c r="Y12" s="10">
        <v>2020</v>
      </c>
      <c r="Z12" s="4" t="s">
        <v>153</v>
      </c>
    </row>
    <row r="13" spans="1:26" x14ac:dyDescent="0.35">
      <c r="A13" s="5" t="s">
        <v>49</v>
      </c>
      <c r="B13" s="5" t="s">
        <v>28</v>
      </c>
      <c r="C13" s="5" t="s">
        <v>29</v>
      </c>
      <c r="D13" s="5" t="s">
        <v>124</v>
      </c>
      <c r="E13" s="6">
        <v>2884651.2</v>
      </c>
      <c r="F13" s="7">
        <f>tblLabour2020[[#This Row],[Labour_Force]]-tblLabour2020[[#This Row],[Unemployed]]</f>
        <v>737354.5</v>
      </c>
      <c r="G13" s="7">
        <f>tblLabour2020[[#This Row],[Working_Age_Pop]]-tblLabour2020[[#This Row],[Labour_Force]]</f>
        <v>1438198.0000000002</v>
      </c>
      <c r="H13" s="4">
        <v>1446453.2</v>
      </c>
      <c r="J13" s="14">
        <f>tblLabour2020[[#This Row],[Employed]]/tblLabour2020[[#This Row],[Working_Age_Pop]]</f>
        <v>0.25561305297500092</v>
      </c>
      <c r="K13" s="14">
        <f>tblLabour2020[[#This Row],[Labour_Force]]/tblLabour2020[[#This Row],[Working_Age_Pop]]</f>
        <v>0.50143088356748289</v>
      </c>
      <c r="O13" s="4">
        <v>507888.8</v>
      </c>
      <c r="P13" s="4">
        <v>229465.60000000001</v>
      </c>
      <c r="Q13" s="4">
        <v>296673.3</v>
      </c>
      <c r="R13" s="4">
        <v>412425.4</v>
      </c>
      <c r="V13" s="4">
        <f>tblLabour2020[[#This Row],[Work 1-19 Hrs]]+tblLabour2020[[#This Row],[Did nothing]]</f>
        <v>709098.7</v>
      </c>
      <c r="W13" s="8">
        <f>tblLabour2020[[#This Row],[Unemployed]]/tblLabour2020[[#This Row],[Labour_Force]]</f>
        <v>0.49023272927184924</v>
      </c>
      <c r="X13" s="8">
        <f>tblLabour2020[[#This Row],[Work 20 -39 Hrs]]/tblLabour2020[[#This Row],[Labour_Force]]</f>
        <v>0.15864018275876468</v>
      </c>
      <c r="Y13" s="10">
        <v>2020</v>
      </c>
      <c r="Z13" s="4" t="s">
        <v>153</v>
      </c>
    </row>
    <row r="14" spans="1:26" x14ac:dyDescent="0.35">
      <c r="A14" s="5" t="s">
        <v>51</v>
      </c>
      <c r="B14" s="5" t="s">
        <v>52</v>
      </c>
      <c r="C14" s="5" t="s">
        <v>53</v>
      </c>
      <c r="D14" s="5" t="s">
        <v>125</v>
      </c>
      <c r="E14" s="6">
        <v>2158780.2000000002</v>
      </c>
      <c r="F14" s="7">
        <f>tblLabour2020[[#This Row],[Labour_Force]]-tblLabour2020[[#This Row],[Unemployed]]</f>
        <v>983012.6</v>
      </c>
      <c r="G14" s="7">
        <f>tblLabour2020[[#This Row],[Working_Age_Pop]]-tblLabour2020[[#This Row],[Labour_Force]]</f>
        <v>708743.00000000023</v>
      </c>
      <c r="H14" s="4">
        <v>1450037.2</v>
      </c>
      <c r="J14" s="14">
        <f>tblLabour2020[[#This Row],[Employed]]/tblLabour2020[[#This Row],[Working_Age_Pop]]</f>
        <v>0.45535557533833221</v>
      </c>
      <c r="K14" s="14">
        <f>tblLabour2020[[#This Row],[Labour_Force]]/tblLabour2020[[#This Row],[Working_Age_Pop]]</f>
        <v>0.67169283839086524</v>
      </c>
      <c r="O14" s="4">
        <v>675928.7</v>
      </c>
      <c r="P14" s="4">
        <v>307083.8</v>
      </c>
      <c r="Q14" s="4">
        <v>304731.09999999998</v>
      </c>
      <c r="R14" s="4">
        <v>162293.5</v>
      </c>
      <c r="V14" s="4">
        <f>tblLabour2020[[#This Row],[Work 1-19 Hrs]]+tblLabour2020[[#This Row],[Did nothing]]</f>
        <v>467024.6</v>
      </c>
      <c r="W14" s="8">
        <f>tblLabour2020[[#This Row],[Unemployed]]/tblLabour2020[[#This Row],[Labour_Force]]</f>
        <v>0.32207766807637761</v>
      </c>
      <c r="X14" s="8">
        <f>tblLabour2020[[#This Row],[Work 20 -39 Hrs]]/tblLabour2020[[#This Row],[Labour_Force]]</f>
        <v>0.21177649787191666</v>
      </c>
      <c r="Y14" s="10">
        <v>2020</v>
      </c>
      <c r="Z14" s="4" t="s">
        <v>153</v>
      </c>
    </row>
    <row r="15" spans="1:26" x14ac:dyDescent="0.35">
      <c r="A15" s="5" t="s">
        <v>55</v>
      </c>
      <c r="B15" s="5" t="s">
        <v>20</v>
      </c>
      <c r="C15" s="5" t="s">
        <v>21</v>
      </c>
      <c r="D15" s="5" t="s">
        <v>126</v>
      </c>
      <c r="E15" s="6">
        <v>2924626.3</v>
      </c>
      <c r="F15" s="7">
        <f>tblLabour2020[[#This Row],[Labour_Force]]-tblLabour2020[[#This Row],[Unemployed]]</f>
        <v>1171135.0999999999</v>
      </c>
      <c r="G15" s="7">
        <f>tblLabour2020[[#This Row],[Working_Age_Pop]]-tblLabour2020[[#This Row],[Labour_Force]]</f>
        <v>1211875.3999999999</v>
      </c>
      <c r="H15" s="4">
        <v>1712750.9</v>
      </c>
      <c r="J15" s="14">
        <f>tblLabour2020[[#This Row],[Employed]]/tblLabour2020[[#This Row],[Working_Age_Pop]]</f>
        <v>0.40043922876574006</v>
      </c>
      <c r="K15" s="14">
        <f>tblLabour2020[[#This Row],[Labour_Force]]/tblLabour2020[[#This Row],[Working_Age_Pop]]</f>
        <v>0.58563068382445993</v>
      </c>
      <c r="O15" s="4">
        <v>806519.5</v>
      </c>
      <c r="P15" s="4">
        <v>364615.66</v>
      </c>
      <c r="Q15" s="4">
        <v>287085.2</v>
      </c>
      <c r="R15" s="4">
        <v>254530.6</v>
      </c>
      <c r="V15" s="4">
        <f>tblLabour2020[[#This Row],[Work 1-19 Hrs]]+tblLabour2020[[#This Row],[Did nothing]]</f>
        <v>541615.80000000005</v>
      </c>
      <c r="W15" s="8">
        <f>tblLabour2020[[#This Row],[Unemployed]]/tblLabour2020[[#This Row],[Labour_Force]]</f>
        <v>0.31622566947709679</v>
      </c>
      <c r="X15" s="8">
        <f>tblLabour2020[[#This Row],[Work 20 -39 Hrs]]/tblLabour2020[[#This Row],[Labour_Force]]</f>
        <v>0.21288306431483994</v>
      </c>
      <c r="Y15" s="10">
        <v>2020</v>
      </c>
      <c r="Z15" s="4" t="s">
        <v>153</v>
      </c>
    </row>
    <row r="16" spans="1:26" x14ac:dyDescent="0.35">
      <c r="A16" s="5" t="s">
        <v>57</v>
      </c>
      <c r="B16" s="5" t="s">
        <v>38</v>
      </c>
      <c r="C16" s="5" t="s">
        <v>39</v>
      </c>
      <c r="D16" s="5" t="s">
        <v>127</v>
      </c>
      <c r="E16" s="6">
        <v>1919321.1</v>
      </c>
      <c r="F16" s="7">
        <f>tblLabour2020[[#This Row],[Labour_Force]]-tblLabour2020[[#This Row],[Unemployed]]</f>
        <v>567959</v>
      </c>
      <c r="G16" s="7">
        <f>tblLabour2020[[#This Row],[Working_Age_Pop]]-tblLabour2020[[#This Row],[Labour_Force]]</f>
        <v>1093074.7000000002</v>
      </c>
      <c r="H16" s="4">
        <v>826246.4</v>
      </c>
      <c r="J16" s="14">
        <f>tblLabour2020[[#This Row],[Employed]]/tblLabour2020[[#This Row],[Working_Age_Pop]]</f>
        <v>0.29591661343169728</v>
      </c>
      <c r="K16" s="14">
        <f>tblLabour2020[[#This Row],[Labour_Force]]/tblLabour2020[[#This Row],[Working_Age_Pop]]</f>
        <v>0.43048888484579262</v>
      </c>
      <c r="O16" s="4">
        <v>279272</v>
      </c>
      <c r="P16" s="4">
        <v>288687</v>
      </c>
      <c r="Q16" s="4">
        <v>141769.9</v>
      </c>
      <c r="R16" s="4">
        <v>116517.5</v>
      </c>
      <c r="V16" s="4">
        <f>tblLabour2020[[#This Row],[Work 1-19 Hrs]]+tblLabour2020[[#This Row],[Did nothing]]</f>
        <v>258287.4</v>
      </c>
      <c r="W16" s="8">
        <f>tblLabour2020[[#This Row],[Unemployed]]/tblLabour2020[[#This Row],[Labour_Force]]</f>
        <v>0.3126033589979938</v>
      </c>
      <c r="X16" s="8">
        <f>tblLabour2020[[#This Row],[Work 20 -39 Hrs]]/tblLabour2020[[#This Row],[Labour_Force]]</f>
        <v>0.34939577346418693</v>
      </c>
      <c r="Y16" s="10">
        <v>2020</v>
      </c>
      <c r="Z16" s="4" t="s">
        <v>153</v>
      </c>
    </row>
    <row r="17" spans="1:27" x14ac:dyDescent="0.35">
      <c r="A17" s="5" t="s">
        <v>59</v>
      </c>
      <c r="B17" s="5" t="s">
        <v>24</v>
      </c>
      <c r="C17" s="5" t="s">
        <v>25</v>
      </c>
      <c r="D17" s="5" t="s">
        <v>128</v>
      </c>
      <c r="E17" s="6">
        <v>3739211.2</v>
      </c>
      <c r="F17" s="7">
        <f>tblLabour2020[[#This Row],[Labour_Force]]-tblLabour2020[[#This Row],[Unemployed]]</f>
        <v>844157.09999999986</v>
      </c>
      <c r="G17" s="7">
        <f>tblLabour2020[[#This Row],[Working_Age_Pop]]-tblLabour2020[[#This Row],[Labour_Force]]</f>
        <v>1792529.4000000001</v>
      </c>
      <c r="H17" s="4">
        <v>1946681.8</v>
      </c>
      <c r="J17" s="14">
        <f>tblLabour2020[[#This Row],[Employed]]/tblLabour2020[[#This Row],[Working_Age_Pop]]</f>
        <v>0.22575806897454731</v>
      </c>
      <c r="K17" s="14">
        <f>tblLabour2020[[#This Row],[Labour_Force]]/tblLabour2020[[#This Row],[Working_Age_Pop]]</f>
        <v>0.52061295708570832</v>
      </c>
      <c r="O17" s="4">
        <v>340034.3</v>
      </c>
      <c r="P17" s="4">
        <v>504122.8</v>
      </c>
      <c r="Q17" s="4">
        <v>493366.4</v>
      </c>
      <c r="R17" s="4">
        <v>609158.30000000005</v>
      </c>
      <c r="V17" s="4">
        <f>tblLabour2020[[#This Row],[Work 1-19 Hrs]]+tblLabour2020[[#This Row],[Did nothing]]</f>
        <v>1102524.7000000002</v>
      </c>
      <c r="W17" s="8">
        <f>tblLabour2020[[#This Row],[Unemployed]]/tblLabour2020[[#This Row],[Labour_Force]]</f>
        <v>0.56636102520709863</v>
      </c>
      <c r="X17" s="8">
        <f>tblLabour2020[[#This Row],[Work 20 -39 Hrs]]/tblLabour2020[[#This Row],[Labour_Force]]</f>
        <v>0.25896517859261847</v>
      </c>
      <c r="Y17" s="10">
        <v>2020</v>
      </c>
      <c r="Z17" s="4" t="s">
        <v>153</v>
      </c>
    </row>
    <row r="18" spans="1:27" x14ac:dyDescent="0.35">
      <c r="A18" s="5" t="s">
        <v>61</v>
      </c>
      <c r="B18" s="5" t="s">
        <v>20</v>
      </c>
      <c r="C18" s="5" t="s">
        <v>21</v>
      </c>
      <c r="D18" s="5" t="s">
        <v>129</v>
      </c>
      <c r="E18" s="6">
        <v>3022348.2</v>
      </c>
      <c r="F18" s="7">
        <f>tblLabour2020[[#This Row],[Labour_Force]]-tblLabour2020[[#This Row],[Unemployed]]</f>
        <v>896843.03</v>
      </c>
      <c r="G18" s="7">
        <f>tblLabour2020[[#This Row],[Working_Age_Pop]]-tblLabour2020[[#This Row],[Labour_Force]]</f>
        <v>1559527.4000000001</v>
      </c>
      <c r="H18" s="4">
        <v>1462820.8</v>
      </c>
      <c r="J18" s="14">
        <f>tblLabour2020[[#This Row],[Employed]]/tblLabour2020[[#This Row],[Working_Age_Pop]]</f>
        <v>0.2967371628457634</v>
      </c>
      <c r="K18" s="14">
        <f>tblLabour2020[[#This Row],[Labour_Force]]/tblLabour2020[[#This Row],[Working_Age_Pop]]</f>
        <v>0.48400141320579804</v>
      </c>
      <c r="O18" s="4">
        <v>292871.5</v>
      </c>
      <c r="P18" s="4">
        <v>603971.55000000005</v>
      </c>
      <c r="Q18" s="4">
        <v>480516.7</v>
      </c>
      <c r="R18" s="4">
        <v>85461.07</v>
      </c>
      <c r="V18" s="4">
        <f>tblLabour2020[[#This Row],[Work 1-19 Hrs]]+tblLabour2020[[#This Row],[Did nothing]]</f>
        <v>565977.77</v>
      </c>
      <c r="W18" s="8">
        <f>tblLabour2020[[#This Row],[Unemployed]]/tblLabour2020[[#This Row],[Labour_Force]]</f>
        <v>0.38690847846844945</v>
      </c>
      <c r="X18" s="8">
        <f>tblLabour2020[[#This Row],[Work 20 -39 Hrs]]/tblLabour2020[[#This Row],[Labour_Force]]</f>
        <v>0.41288143428094543</v>
      </c>
      <c r="Y18" s="10">
        <v>2020</v>
      </c>
      <c r="Z18" s="4" t="s">
        <v>153</v>
      </c>
    </row>
    <row r="19" spans="1:27" x14ac:dyDescent="0.35">
      <c r="A19" s="5" t="s">
        <v>63</v>
      </c>
      <c r="B19" s="5" t="s">
        <v>64</v>
      </c>
      <c r="C19" s="5" t="s">
        <v>65</v>
      </c>
      <c r="D19" s="5" t="s">
        <v>130</v>
      </c>
      <c r="E19" s="6">
        <v>5378881.0999999996</v>
      </c>
      <c r="F19" s="7">
        <f>tblLabour2020[[#This Row],[Labour_Force]]-tblLabour2020[[#This Row],[Unemployed]]</f>
        <v>1394326.4999999998</v>
      </c>
      <c r="G19" s="7">
        <f>tblLabour2020[[#This Row],[Working_Age_Pop]]-tblLabour2020[[#This Row],[Labour_Force]]</f>
        <v>2873463.8</v>
      </c>
      <c r="H19" s="4">
        <v>2505417.2999999998</v>
      </c>
      <c r="J19" s="14">
        <f>tblLabour2020[[#This Row],[Employed]]/tblLabour2020[[#This Row],[Working_Age_Pop]]</f>
        <v>0.25922240593866258</v>
      </c>
      <c r="K19" s="14">
        <f>tblLabour2020[[#This Row],[Labour_Force]]/tblLabour2020[[#This Row],[Working_Age_Pop]]</f>
        <v>0.46578781970101552</v>
      </c>
      <c r="O19" s="4">
        <v>826930.2</v>
      </c>
      <c r="P19" s="4">
        <v>567396.4</v>
      </c>
      <c r="Q19" s="4">
        <v>326887.2</v>
      </c>
      <c r="R19" s="4">
        <v>784203.6</v>
      </c>
      <c r="V19" s="4">
        <f>tblLabour2020[[#This Row],[Work 1-19 Hrs]]+tblLabour2020[[#This Row],[Did nothing]]</f>
        <v>1111090.8</v>
      </c>
      <c r="W19" s="8">
        <f>tblLabour2020[[#This Row],[Unemployed]]/tblLabour2020[[#This Row],[Labour_Force]]</f>
        <v>0.44347534440669828</v>
      </c>
      <c r="X19" s="8">
        <f>tblLabour2020[[#This Row],[Work 20 -39 Hrs]]/tblLabour2020[[#This Row],[Labour_Force]]</f>
        <v>0.22646782234640117</v>
      </c>
      <c r="Y19" s="10">
        <v>2020</v>
      </c>
      <c r="Z19" s="4" t="s">
        <v>153</v>
      </c>
    </row>
    <row r="20" spans="1:27" x14ac:dyDescent="0.35">
      <c r="A20" s="5" t="s">
        <v>67</v>
      </c>
      <c r="B20" s="5" t="s">
        <v>64</v>
      </c>
      <c r="C20" s="5" t="s">
        <v>65</v>
      </c>
      <c r="D20" s="5" t="s">
        <v>131</v>
      </c>
      <c r="E20" s="6">
        <v>7200703.5</v>
      </c>
      <c r="F20" s="7">
        <f>tblLabour2020[[#This Row],[Labour_Force]]-tblLabour2020[[#This Row],[Unemployed]]</f>
        <v>2110744</v>
      </c>
      <c r="G20" s="7">
        <f>tblLabour2020[[#This Row],[Working_Age_Pop]]-tblLabour2020[[#This Row],[Labour_Force]]</f>
        <v>4372873.4000000004</v>
      </c>
      <c r="H20" s="4">
        <v>2827830.1</v>
      </c>
      <c r="J20" s="14">
        <f>tblLabour2020[[#This Row],[Employed]]/tblLabour2020[[#This Row],[Working_Age_Pop]]</f>
        <v>0.29313024762094425</v>
      </c>
      <c r="K20" s="14">
        <f>tblLabour2020[[#This Row],[Labour_Force]]/tblLabour2020[[#This Row],[Working_Age_Pop]]</f>
        <v>0.39271580894838959</v>
      </c>
      <c r="O20" s="4">
        <v>1228531.2</v>
      </c>
      <c r="P20" s="4">
        <v>882212.7</v>
      </c>
      <c r="Q20" s="4">
        <v>569176.5</v>
      </c>
      <c r="R20" s="4">
        <v>147909.6</v>
      </c>
      <c r="V20" s="4">
        <f>tblLabour2020[[#This Row],[Work 1-19 Hrs]]+tblLabour2020[[#This Row],[Did nothing]]</f>
        <v>717086.1</v>
      </c>
      <c r="W20" s="8">
        <f>tblLabour2020[[#This Row],[Unemployed]]/tblLabour2020[[#This Row],[Labour_Force]]</f>
        <v>0.25358174806895223</v>
      </c>
      <c r="X20" s="8">
        <f>tblLabour2020[[#This Row],[Work 20 -39 Hrs]]/tblLabour2020[[#This Row],[Labour_Force]]</f>
        <v>0.31197514306110535</v>
      </c>
      <c r="Y20" s="10">
        <v>2020</v>
      </c>
      <c r="Z20" s="4" t="s">
        <v>153</v>
      </c>
    </row>
    <row r="21" spans="1:27" x14ac:dyDescent="0.35">
      <c r="A21" s="5" t="s">
        <v>69</v>
      </c>
      <c r="B21" s="5" t="s">
        <v>64</v>
      </c>
      <c r="C21" s="5" t="s">
        <v>65</v>
      </c>
      <c r="D21" s="5" t="s">
        <v>132</v>
      </c>
      <c r="E21" s="6">
        <v>4491288.7</v>
      </c>
      <c r="F21" s="7">
        <f>tblLabour2020[[#This Row],[Labour_Force]]-tblLabour2020[[#This Row],[Unemployed]]</f>
        <v>1297040.9300000002</v>
      </c>
      <c r="G21" s="7">
        <f>tblLabour2020[[#This Row],[Working_Age_Pop]]-tblLabour2020[[#This Row],[Labour_Force]]</f>
        <v>2755439.9000000004</v>
      </c>
      <c r="H21" s="4">
        <v>1735848.8</v>
      </c>
      <c r="J21" s="14">
        <f>tblLabour2020[[#This Row],[Employed]]/tblLabour2020[[#This Row],[Working_Age_Pop]]</f>
        <v>0.28879037101311261</v>
      </c>
      <c r="K21" s="14">
        <f>tblLabour2020[[#This Row],[Labour_Force]]/tblLabour2020[[#This Row],[Working_Age_Pop]]</f>
        <v>0.38649236687902072</v>
      </c>
      <c r="O21" s="4">
        <v>888364.9</v>
      </c>
      <c r="P21" s="4">
        <v>408676</v>
      </c>
      <c r="Q21" s="4">
        <v>372644</v>
      </c>
      <c r="R21" s="4">
        <v>66163.87</v>
      </c>
      <c r="V21" s="4">
        <f>tblLabour2020[[#This Row],[Work 1-19 Hrs]]+tblLabour2020[[#This Row],[Did nothing]]</f>
        <v>438807.87</v>
      </c>
      <c r="W21" s="8">
        <f>tblLabour2020[[#This Row],[Unemployed]]/tblLabour2020[[#This Row],[Labour_Force]]</f>
        <v>0.2527915276952693</v>
      </c>
      <c r="X21" s="8">
        <f>tblLabour2020[[#This Row],[Work 20 -39 Hrs]]/tblLabour2020[[#This Row],[Labour_Force]]</f>
        <v>0.23543294784660967</v>
      </c>
      <c r="Y21" s="10">
        <v>2020</v>
      </c>
      <c r="Z21" s="4" t="s">
        <v>153</v>
      </c>
    </row>
    <row r="22" spans="1:27" x14ac:dyDescent="0.35">
      <c r="A22" s="5" t="s">
        <v>71</v>
      </c>
      <c r="B22" s="5" t="s">
        <v>64</v>
      </c>
      <c r="C22" s="5" t="s">
        <v>65</v>
      </c>
      <c r="D22" s="5" t="s">
        <v>133</v>
      </c>
      <c r="E22" s="6">
        <v>2325187</v>
      </c>
      <c r="F22" s="7">
        <f>tblLabour2020[[#This Row],[Labour_Force]]-tblLabour2020[[#This Row],[Unemployed]]</f>
        <v>1024340.4900000001</v>
      </c>
      <c r="G22" s="7">
        <f>tblLabour2020[[#This Row],[Working_Age_Pop]]-tblLabour2020[[#This Row],[Labour_Force]]</f>
        <v>1087276.8999999999</v>
      </c>
      <c r="H22" s="4">
        <v>1237910.1000000001</v>
      </c>
      <c r="J22" s="14">
        <f>tblLabour2020[[#This Row],[Employed]]/tblLabour2020[[#This Row],[Working_Age_Pop]]</f>
        <v>0.44054112206889173</v>
      </c>
      <c r="K22" s="14">
        <f>tblLabour2020[[#This Row],[Labour_Force]]/tblLabour2020[[#This Row],[Working_Age_Pop]]</f>
        <v>0.53239163129675171</v>
      </c>
      <c r="O22" s="4">
        <v>595192.80000000005</v>
      </c>
      <c r="P22" s="4">
        <v>429147.8</v>
      </c>
      <c r="Q22" s="4">
        <v>162308.1</v>
      </c>
      <c r="R22" s="4">
        <v>51261.51</v>
      </c>
      <c r="V22" s="4">
        <f>tblLabour2020[[#This Row],[Work 1-19 Hrs]]+tblLabour2020[[#This Row],[Did nothing]]</f>
        <v>213569.61000000002</v>
      </c>
      <c r="W22" s="8">
        <f>tblLabour2020[[#This Row],[Unemployed]]/tblLabour2020[[#This Row],[Labour_Force]]</f>
        <v>0.1725243295131044</v>
      </c>
      <c r="X22" s="8">
        <f>tblLabour2020[[#This Row],[Work 20 -39 Hrs]]/tblLabour2020[[#This Row],[Labour_Force]]</f>
        <v>0.34667121627006675</v>
      </c>
      <c r="Y22" s="10">
        <v>2020</v>
      </c>
      <c r="Z22" s="4" t="s">
        <v>153</v>
      </c>
      <c r="AA22" s="3" t="s">
        <v>134</v>
      </c>
    </row>
    <row r="23" spans="1:27" x14ac:dyDescent="0.35">
      <c r="A23" s="5" t="s">
        <v>73</v>
      </c>
      <c r="B23" s="5" t="s">
        <v>64</v>
      </c>
      <c r="C23" s="5" t="s">
        <v>65</v>
      </c>
      <c r="D23" s="5" t="s">
        <v>135</v>
      </c>
      <c r="E23" s="6">
        <v>3441830.6</v>
      </c>
      <c r="F23" s="7">
        <f>tblLabour2020[[#This Row],[Labour_Force]]-tblLabour2020[[#This Row],[Unemployed]]</f>
        <v>1210683.8</v>
      </c>
      <c r="G23" s="7">
        <f>tblLabour2020[[#This Row],[Working_Age_Pop]]-tblLabour2020[[#This Row],[Labour_Force]]</f>
        <v>1457948.6</v>
      </c>
      <c r="H23" s="4">
        <v>1983882</v>
      </c>
      <c r="J23" s="14">
        <f>tblLabour2020[[#This Row],[Employed]]/tblLabour2020[[#This Row],[Working_Age_Pop]]</f>
        <v>0.35175577787006718</v>
      </c>
      <c r="K23" s="14">
        <f>tblLabour2020[[#This Row],[Labour_Force]]/tblLabour2020[[#This Row],[Working_Age_Pop]]</f>
        <v>0.57640315011436061</v>
      </c>
      <c r="O23" s="4">
        <v>639055.99</v>
      </c>
      <c r="P23" s="4">
        <v>571627.77</v>
      </c>
      <c r="Q23" s="4">
        <v>324120</v>
      </c>
      <c r="R23" s="4">
        <v>449078.2</v>
      </c>
      <c r="V23" s="4">
        <f>tblLabour2020[[#This Row],[Work 1-19 Hrs]]+tblLabour2020[[#This Row],[Did nothing]]</f>
        <v>773198.2</v>
      </c>
      <c r="W23" s="8">
        <f>tblLabour2020[[#This Row],[Unemployed]]/tblLabour2020[[#This Row],[Labour_Force]]</f>
        <v>0.3897400147791048</v>
      </c>
      <c r="X23" s="8">
        <f>tblLabour2020[[#This Row],[Work 20 -39 Hrs]]/tblLabour2020[[#This Row],[Labour_Force]]</f>
        <v>0.28813597280483416</v>
      </c>
      <c r="Y23" s="10">
        <v>2020</v>
      </c>
      <c r="Z23" s="4" t="s">
        <v>153</v>
      </c>
    </row>
    <row r="24" spans="1:27" x14ac:dyDescent="0.35">
      <c r="A24" s="5" t="s">
        <v>75</v>
      </c>
      <c r="B24" s="5" t="s">
        <v>38</v>
      </c>
      <c r="C24" s="5" t="s">
        <v>39</v>
      </c>
      <c r="D24" s="5" t="s">
        <v>136</v>
      </c>
      <c r="E24" s="6">
        <v>2009451.5</v>
      </c>
      <c r="F24" s="7">
        <f>tblLabour2020[[#This Row],[Labour_Force]]-tblLabour2020[[#This Row],[Unemployed]]</f>
        <v>1216800.74</v>
      </c>
      <c r="G24" s="7">
        <f>tblLabour2020[[#This Row],[Working_Age_Pop]]-tblLabour2020[[#This Row],[Labour_Force]]</f>
        <v>551300.89999999991</v>
      </c>
      <c r="H24" s="4">
        <v>1458150.6</v>
      </c>
      <c r="J24" s="14">
        <f>tblLabour2020[[#This Row],[Employed]]/tblLabour2020[[#This Row],[Working_Age_Pop]]</f>
        <v>0.6055387452745189</v>
      </c>
      <c r="K24" s="14">
        <f>tblLabour2020[[#This Row],[Labour_Force]]/tblLabour2020[[#This Row],[Working_Age_Pop]]</f>
        <v>0.72564607804667103</v>
      </c>
      <c r="O24" s="4">
        <v>937370.9</v>
      </c>
      <c r="P24" s="4">
        <v>279429.8</v>
      </c>
      <c r="Q24" s="4">
        <v>33830.660000000003</v>
      </c>
      <c r="R24" s="4">
        <v>207519.2</v>
      </c>
      <c r="V24" s="4">
        <f>tblLabour2020[[#This Row],[Work 1-19 Hrs]]+tblLabour2020[[#This Row],[Did nothing]]</f>
        <v>241349.86000000002</v>
      </c>
      <c r="W24" s="8">
        <f>tblLabour2020[[#This Row],[Unemployed]]/tblLabour2020[[#This Row],[Labour_Force]]</f>
        <v>0.16551778670872541</v>
      </c>
      <c r="X24" s="8">
        <f>tblLabour2020[[#This Row],[Work 20 -39 Hrs]]/tblLabour2020[[#This Row],[Labour_Force]]</f>
        <v>0.19163301787894885</v>
      </c>
      <c r="Y24" s="10">
        <v>2020</v>
      </c>
      <c r="Z24" s="4" t="s">
        <v>153</v>
      </c>
    </row>
    <row r="25" spans="1:27" x14ac:dyDescent="0.35">
      <c r="A25" s="5" t="s">
        <v>77</v>
      </c>
      <c r="B25" s="5" t="s">
        <v>38</v>
      </c>
      <c r="C25" s="5" t="s">
        <v>39</v>
      </c>
      <c r="D25" s="5" t="s">
        <v>137</v>
      </c>
      <c r="E25" s="6">
        <v>9073494.3000000007</v>
      </c>
      <c r="F25" s="7">
        <f>tblLabour2020[[#This Row],[Labour_Force]]-tblLabour2020[[#This Row],[Unemployed]]</f>
        <v>3124883.9000000004</v>
      </c>
      <c r="G25" s="7">
        <f>tblLabour2020[[#This Row],[Working_Age_Pop]]-tblLabour2020[[#This Row],[Labour_Force]]</f>
        <v>4102006.4000000004</v>
      </c>
      <c r="H25" s="4">
        <v>4971487.9000000004</v>
      </c>
      <c r="J25" s="14">
        <f>tblLabour2020[[#This Row],[Employed]]/tblLabour2020[[#This Row],[Working_Age_Pop]]</f>
        <v>0.34439696512511175</v>
      </c>
      <c r="K25" s="14">
        <f>tblLabour2020[[#This Row],[Labour_Force]]/tblLabour2020[[#This Row],[Working_Age_Pop]]</f>
        <v>0.54791326644686378</v>
      </c>
      <c r="O25" s="4">
        <v>2900094.1</v>
      </c>
      <c r="P25" s="4">
        <v>224789.8</v>
      </c>
      <c r="Q25" s="4">
        <v>312787.8</v>
      </c>
      <c r="R25" s="4">
        <v>1533816.2</v>
      </c>
      <c r="V25" s="4">
        <f>tblLabour2020[[#This Row],[Work 1-19 Hrs]]+tblLabour2020[[#This Row],[Did nothing]]</f>
        <v>1846604</v>
      </c>
      <c r="W25" s="8">
        <f>tblLabour2020[[#This Row],[Unemployed]]/tblLabour2020[[#This Row],[Labour_Force]]</f>
        <v>0.37143890061564866</v>
      </c>
      <c r="X25" s="8">
        <f>tblLabour2020[[#This Row],[Work 20 -39 Hrs]]/tblLabour2020[[#This Row],[Labour_Force]]</f>
        <v>4.5215799479266551E-2</v>
      </c>
      <c r="Y25" s="10">
        <v>2020</v>
      </c>
      <c r="Z25" s="4" t="s">
        <v>153</v>
      </c>
    </row>
    <row r="26" spans="1:27" x14ac:dyDescent="0.35">
      <c r="A26" s="5" t="s">
        <v>79</v>
      </c>
      <c r="B26" s="5" t="s">
        <v>52</v>
      </c>
      <c r="C26" s="5" t="s">
        <v>53</v>
      </c>
      <c r="D26" s="5" t="s">
        <v>138</v>
      </c>
      <c r="E26" s="6">
        <v>1734666.6</v>
      </c>
      <c r="F26" s="7">
        <f>tblLabour2020[[#This Row],[Labour_Force]]-tblLabour2020[[#This Row],[Unemployed]]</f>
        <v>773769.2</v>
      </c>
      <c r="G26" s="7">
        <f>tblLabour2020[[#This Row],[Working_Age_Pop]]-tblLabour2020[[#This Row],[Labour_Force]]</f>
        <v>631970.40000000014</v>
      </c>
      <c r="H26" s="4">
        <v>1102696.2</v>
      </c>
      <c r="J26" s="14">
        <f>tblLabour2020[[#This Row],[Employed]]/tblLabour2020[[#This Row],[Working_Age_Pop]]</f>
        <v>0.44606220007925435</v>
      </c>
      <c r="K26" s="14">
        <f>tblLabour2020[[#This Row],[Labour_Force]]/tblLabour2020[[#This Row],[Working_Age_Pop]]</f>
        <v>0.63568192297009685</v>
      </c>
      <c r="O26" s="4">
        <v>431275.6</v>
      </c>
      <c r="P26" s="4">
        <v>342493.7</v>
      </c>
      <c r="Q26" s="4">
        <v>224751.5</v>
      </c>
      <c r="R26" s="4">
        <v>104175.5</v>
      </c>
      <c r="V26" s="4">
        <f>tblLabour2020[[#This Row],[Work 1-19 Hrs]]+tblLabour2020[[#This Row],[Did nothing]]</f>
        <v>328927</v>
      </c>
      <c r="W26" s="8">
        <f>tblLabour2020[[#This Row],[Unemployed]]/tblLabour2020[[#This Row],[Labour_Force]]</f>
        <v>0.29829340121059639</v>
      </c>
      <c r="X26" s="8">
        <f>tblLabour2020[[#This Row],[Work 20 -39 Hrs]]/tblLabour2020[[#This Row],[Labour_Force]]</f>
        <v>0.31059660856725546</v>
      </c>
      <c r="Y26" s="10">
        <v>2020</v>
      </c>
      <c r="Z26" s="4" t="s">
        <v>153</v>
      </c>
    </row>
    <row r="27" spans="1:27" x14ac:dyDescent="0.35">
      <c r="A27" s="5" t="s">
        <v>81</v>
      </c>
      <c r="B27" s="5" t="s">
        <v>38</v>
      </c>
      <c r="C27" s="5" t="s">
        <v>39</v>
      </c>
      <c r="D27" s="5" t="s">
        <v>139</v>
      </c>
      <c r="E27" s="6">
        <v>3294104.5</v>
      </c>
      <c r="F27" s="7">
        <f>tblLabour2020[[#This Row],[Labour_Force]]-tblLabour2020[[#This Row],[Unemployed]]</f>
        <v>1050664.8800000001</v>
      </c>
      <c r="G27" s="7">
        <f>tblLabour2020[[#This Row],[Working_Age_Pop]]-tblLabour2020[[#This Row],[Labour_Force]]</f>
        <v>1577275.4</v>
      </c>
      <c r="H27" s="4">
        <v>1716829.1</v>
      </c>
      <c r="J27" s="14">
        <f>tblLabour2020[[#This Row],[Employed]]/tblLabour2020[[#This Row],[Working_Age_Pop]]</f>
        <v>0.31895311153607914</v>
      </c>
      <c r="K27" s="14">
        <f>tblLabour2020[[#This Row],[Labour_Force]]/tblLabour2020[[#This Row],[Working_Age_Pop]]</f>
        <v>0.52118234257595653</v>
      </c>
      <c r="O27" s="4">
        <v>648163.80000000005</v>
      </c>
      <c r="P27" s="4">
        <v>402501.1</v>
      </c>
      <c r="Q27" s="4">
        <v>506790.3</v>
      </c>
      <c r="R27" s="4">
        <v>159373.92000000001</v>
      </c>
      <c r="V27" s="4">
        <f>tblLabour2020[[#This Row],[Work 1-19 Hrs]]+tblLabour2020[[#This Row],[Did nothing]]</f>
        <v>666164.22</v>
      </c>
      <c r="W27" s="8">
        <f>tblLabour2020[[#This Row],[Unemployed]]/tblLabour2020[[#This Row],[Labour_Force]]</f>
        <v>0.3880201121940442</v>
      </c>
      <c r="X27" s="8">
        <f>tblLabour2020[[#This Row],[Work 20 -39 Hrs]]/tblLabour2020[[#This Row],[Labour_Force]]</f>
        <v>0.23444447673912328</v>
      </c>
      <c r="Y27" s="10">
        <v>2020</v>
      </c>
      <c r="Z27" s="4" t="s">
        <v>153</v>
      </c>
    </row>
    <row r="28" spans="1:27" x14ac:dyDescent="0.35">
      <c r="A28" s="5" t="s">
        <v>83</v>
      </c>
      <c r="B28" s="5" t="s">
        <v>38</v>
      </c>
      <c r="C28" s="5" t="s">
        <v>39</v>
      </c>
      <c r="D28" s="5" t="s">
        <v>140</v>
      </c>
      <c r="E28" s="6">
        <v>3724655.6</v>
      </c>
      <c r="F28" s="7">
        <f>tblLabour2020[[#This Row],[Labour_Force]]-tblLabour2020[[#This Row],[Unemployed]]</f>
        <v>1982671.7000000002</v>
      </c>
      <c r="G28" s="7">
        <f>tblLabour2020[[#This Row],[Working_Age_Pop]]-tblLabour2020[[#This Row],[Labour_Force]]</f>
        <v>1354081.5</v>
      </c>
      <c r="H28" s="4">
        <v>2370574.1</v>
      </c>
      <c r="J28" s="14">
        <f>tblLabour2020[[#This Row],[Employed]]/tblLabour2020[[#This Row],[Working_Age_Pop]]</f>
        <v>0.53231007452071544</v>
      </c>
      <c r="K28" s="14">
        <f>tblLabour2020[[#This Row],[Labour_Force]]/tblLabour2020[[#This Row],[Working_Age_Pop]]</f>
        <v>0.6364545758270912</v>
      </c>
      <c r="O28" s="4">
        <v>1748591.6</v>
      </c>
      <c r="P28" s="4">
        <v>234080.1</v>
      </c>
      <c r="Q28" s="4">
        <v>100849.60000000001</v>
      </c>
      <c r="R28" s="4">
        <v>287052.79999999999</v>
      </c>
      <c r="V28" s="4">
        <f>tblLabour2020[[#This Row],[Work 1-19 Hrs]]+tblLabour2020[[#This Row],[Did nothing]]</f>
        <v>387902.4</v>
      </c>
      <c r="W28" s="8">
        <f>tblLabour2020[[#This Row],[Unemployed]]/tblLabour2020[[#This Row],[Labour_Force]]</f>
        <v>0.16363226106283707</v>
      </c>
      <c r="X28" s="8">
        <f>tblLabour2020[[#This Row],[Work 20 -39 Hrs]]/tblLabour2020[[#This Row],[Labour_Force]]</f>
        <v>9.8744055290235389E-2</v>
      </c>
      <c r="Y28" s="10">
        <v>2020</v>
      </c>
      <c r="Z28" s="4" t="s">
        <v>153</v>
      </c>
    </row>
    <row r="29" spans="1:27" x14ac:dyDescent="0.35">
      <c r="A29" s="5" t="s">
        <v>85</v>
      </c>
      <c r="B29" s="5" t="s">
        <v>52</v>
      </c>
      <c r="C29" s="5" t="s">
        <v>53</v>
      </c>
      <c r="D29" s="5" t="s">
        <v>141</v>
      </c>
      <c r="E29" s="6">
        <v>3391765.6</v>
      </c>
      <c r="F29" s="7">
        <f>tblLabour2020[[#This Row],[Labour_Force]]-tblLabour2020[[#This Row],[Unemployed]]</f>
        <v>2069380.7000000002</v>
      </c>
      <c r="G29" s="7">
        <f>tblLabour2020[[#This Row],[Working_Age_Pop]]-tblLabour2020[[#This Row],[Labour_Force]]</f>
        <v>895847.89999999991</v>
      </c>
      <c r="H29" s="4">
        <v>2495917.7000000002</v>
      </c>
      <c r="J29" s="14">
        <f>tblLabour2020[[#This Row],[Employed]]/tblLabour2020[[#This Row],[Working_Age_Pop]]</f>
        <v>0.61011901883785846</v>
      </c>
      <c r="K29" s="14">
        <f>tblLabour2020[[#This Row],[Labour_Force]]/tblLabour2020[[#This Row],[Working_Age_Pop]]</f>
        <v>0.73587564541606298</v>
      </c>
      <c r="O29" s="4">
        <v>1466285.9</v>
      </c>
      <c r="P29" s="4">
        <v>603094.80000000005</v>
      </c>
      <c r="Q29" s="4">
        <v>212415.5</v>
      </c>
      <c r="R29" s="4">
        <v>214121.5</v>
      </c>
      <c r="V29" s="4">
        <f>tblLabour2020[[#This Row],[Work 1-19 Hrs]]+tblLabour2020[[#This Row],[Did nothing]]</f>
        <v>426537</v>
      </c>
      <c r="W29" s="8">
        <f>tblLabour2020[[#This Row],[Unemployed]]/tblLabour2020[[#This Row],[Labour_Force]]</f>
        <v>0.17089385599533188</v>
      </c>
      <c r="X29" s="8">
        <f>tblLabour2020[[#This Row],[Work 20 -39 Hrs]]/tblLabour2020[[#This Row],[Labour_Force]]</f>
        <v>0.24163248651988806</v>
      </c>
      <c r="Y29" s="10">
        <v>2020</v>
      </c>
      <c r="Z29" s="4" t="s">
        <v>153</v>
      </c>
    </row>
    <row r="30" spans="1:27" x14ac:dyDescent="0.35">
      <c r="A30" s="5" t="s">
        <v>87</v>
      </c>
      <c r="B30" s="5" t="s">
        <v>52</v>
      </c>
      <c r="C30" s="5" t="s">
        <v>53</v>
      </c>
      <c r="D30" s="5" t="s">
        <v>142</v>
      </c>
      <c r="E30" s="6">
        <v>3070422.3</v>
      </c>
      <c r="F30" s="7">
        <f>tblLabour2020[[#This Row],[Labour_Force]]-tblLabour2020[[#This Row],[Unemployed]]</f>
        <v>1631923.66</v>
      </c>
      <c r="G30" s="7">
        <f>tblLabour2020[[#This Row],[Working_Age_Pop]]-tblLabour2020[[#This Row],[Labour_Force]]</f>
        <v>1223217.7999999998</v>
      </c>
      <c r="H30" s="4">
        <v>1847204.5</v>
      </c>
      <c r="J30" s="14">
        <f>tblLabour2020[[#This Row],[Employed]]/tblLabour2020[[#This Row],[Working_Age_Pop]]</f>
        <v>0.53149811346797471</v>
      </c>
      <c r="K30" s="14">
        <f>tblLabour2020[[#This Row],[Labour_Force]]/tblLabour2020[[#This Row],[Working_Age_Pop]]</f>
        <v>0.60161252085747297</v>
      </c>
      <c r="O30" s="4">
        <v>1157580.1000000001</v>
      </c>
      <c r="P30" s="4">
        <v>474343.5</v>
      </c>
      <c r="Q30" s="4">
        <v>159017.9</v>
      </c>
      <c r="R30" s="4">
        <v>56262.94</v>
      </c>
      <c r="V30" s="4">
        <f>tblLabour2020[[#This Row],[Work 1-19 Hrs]]+tblLabour2020[[#This Row],[Did nothing]]</f>
        <v>215280.84</v>
      </c>
      <c r="W30" s="8">
        <f>tblLabour2020[[#This Row],[Unemployed]]/tblLabour2020[[#This Row],[Labour_Force]]</f>
        <v>0.11654412925044304</v>
      </c>
      <c r="X30" s="8">
        <f>tblLabour2020[[#This Row],[Work 20 -39 Hrs]]/tblLabour2020[[#This Row],[Labour_Force]]</f>
        <v>0.25678992228526942</v>
      </c>
      <c r="Y30" s="10">
        <v>2020</v>
      </c>
      <c r="Z30" s="4" t="s">
        <v>153</v>
      </c>
    </row>
    <row r="31" spans="1:27" x14ac:dyDescent="0.35">
      <c r="A31" s="5" t="s">
        <v>89</v>
      </c>
      <c r="B31" s="5" t="s">
        <v>52</v>
      </c>
      <c r="C31" s="5" t="s">
        <v>53</v>
      </c>
      <c r="D31" s="5" t="s">
        <v>143</v>
      </c>
      <c r="E31" s="6">
        <v>4802195</v>
      </c>
      <c r="F31" s="7">
        <f>tblLabour2020[[#This Row],[Labour_Force]]-tblLabour2020[[#This Row],[Unemployed]]</f>
        <v>2718931.9</v>
      </c>
      <c r="G31" s="7">
        <f>tblLabour2020[[#This Row],[Working_Age_Pop]]-tblLabour2020[[#This Row],[Labour_Force]]</f>
        <v>1486934</v>
      </c>
      <c r="H31" s="4">
        <v>3315261</v>
      </c>
      <c r="J31" s="14">
        <f>tblLabour2020[[#This Row],[Employed]]/tblLabour2020[[#This Row],[Working_Age_Pop]]</f>
        <v>0.56618523404401522</v>
      </c>
      <c r="K31" s="14">
        <f>tblLabour2020[[#This Row],[Labour_Force]]/tblLabour2020[[#This Row],[Working_Age_Pop]]</f>
        <v>0.69036367744333582</v>
      </c>
      <c r="O31" s="4">
        <v>2067689.6</v>
      </c>
      <c r="P31" s="4">
        <v>651242.19999999995</v>
      </c>
      <c r="Q31" s="4">
        <v>339338.1</v>
      </c>
      <c r="R31" s="4">
        <v>256991</v>
      </c>
      <c r="V31" s="4">
        <f>tblLabour2020[[#This Row],[Work 1-19 Hrs]]+tblLabour2020[[#This Row],[Did nothing]]</f>
        <v>596329.1</v>
      </c>
      <c r="W31" s="8">
        <f>tblLabour2020[[#This Row],[Unemployed]]/tblLabour2020[[#This Row],[Labour_Force]]</f>
        <v>0.17987395260885944</v>
      </c>
      <c r="X31" s="8">
        <f>tblLabour2020[[#This Row],[Work 20 -39 Hrs]]/tblLabour2020[[#This Row],[Labour_Force]]</f>
        <v>0.19643768620328836</v>
      </c>
      <c r="Y31" s="10">
        <v>2020</v>
      </c>
      <c r="Z31" s="4" t="s">
        <v>153</v>
      </c>
    </row>
    <row r="32" spans="1:27" x14ac:dyDescent="0.35">
      <c r="A32" s="5" t="s">
        <v>91</v>
      </c>
      <c r="B32" s="5" t="s">
        <v>52</v>
      </c>
      <c r="C32" s="5" t="s">
        <v>53</v>
      </c>
      <c r="D32" s="5" t="s">
        <v>144</v>
      </c>
      <c r="E32" s="6">
        <v>2690343.5</v>
      </c>
      <c r="F32" s="7">
        <f>tblLabour2020[[#This Row],[Labour_Force]]-tblLabour2020[[#This Row],[Unemployed]]</f>
        <v>943021.2</v>
      </c>
      <c r="G32" s="7">
        <f>tblLabour2020[[#This Row],[Working_Age_Pop]]-tblLabour2020[[#This Row],[Labour_Force]]</f>
        <v>1405769.6</v>
      </c>
      <c r="H32" s="4">
        <v>1284573.8999999999</v>
      </c>
      <c r="J32" s="14">
        <f>tblLabour2020[[#This Row],[Employed]]/tblLabour2020[[#This Row],[Working_Age_Pop]]</f>
        <v>0.35052074205394218</v>
      </c>
      <c r="K32" s="14">
        <f>tblLabour2020[[#This Row],[Labour_Force]]/tblLabour2020[[#This Row],[Working_Age_Pop]]</f>
        <v>0.4774757944478093</v>
      </c>
      <c r="O32" s="4">
        <v>607156.9</v>
      </c>
      <c r="P32" s="4">
        <v>335864.3</v>
      </c>
      <c r="Q32" s="4">
        <v>187380.9</v>
      </c>
      <c r="R32" s="4">
        <v>154171.79999999999</v>
      </c>
      <c r="V32" s="4">
        <f>tblLabour2020[[#This Row],[Work 1-19 Hrs]]+tblLabour2020[[#This Row],[Did nothing]]</f>
        <v>341552.69999999995</v>
      </c>
      <c r="W32" s="8">
        <f>tblLabour2020[[#This Row],[Unemployed]]/tblLabour2020[[#This Row],[Labour_Force]]</f>
        <v>0.26588793373429115</v>
      </c>
      <c r="X32" s="8">
        <f>tblLabour2020[[#This Row],[Work 20 -39 Hrs]]/tblLabour2020[[#This Row],[Labour_Force]]</f>
        <v>0.26145969492296239</v>
      </c>
      <c r="Y32" s="10">
        <v>2020</v>
      </c>
      <c r="Z32" s="4" t="s">
        <v>153</v>
      </c>
    </row>
    <row r="33" spans="1:26" x14ac:dyDescent="0.35">
      <c r="A33" s="5" t="s">
        <v>93</v>
      </c>
      <c r="B33" s="5" t="s">
        <v>38</v>
      </c>
      <c r="C33" s="5" t="s">
        <v>39</v>
      </c>
      <c r="D33" s="5" t="s">
        <v>145</v>
      </c>
      <c r="E33" s="6">
        <v>5351855.5999999996</v>
      </c>
      <c r="F33" s="7">
        <f>tblLabour2020[[#This Row],[Labour_Force]]-tblLabour2020[[#This Row],[Unemployed]]</f>
        <v>2301520</v>
      </c>
      <c r="G33" s="7">
        <f>tblLabour2020[[#This Row],[Working_Age_Pop]]-tblLabour2020[[#This Row],[Labour_Force]]</f>
        <v>1411414.9999999995</v>
      </c>
      <c r="H33" s="4">
        <v>3940440.6</v>
      </c>
      <c r="J33" s="14">
        <f>tblLabour2020[[#This Row],[Employed]]/tblLabour2020[[#This Row],[Working_Age_Pop]]</f>
        <v>0.4300414981301065</v>
      </c>
      <c r="K33" s="14">
        <f>tblLabour2020[[#This Row],[Labour_Force]]/tblLabour2020[[#This Row],[Working_Age_Pop]]</f>
        <v>0.73627558262222181</v>
      </c>
      <c r="O33" s="4">
        <v>1606693.4</v>
      </c>
      <c r="P33" s="4">
        <v>694826.6</v>
      </c>
      <c r="Q33" s="4">
        <v>663477.80000000005</v>
      </c>
      <c r="R33" s="4">
        <v>975442.8</v>
      </c>
      <c r="V33" s="4">
        <f>tblLabour2020[[#This Row],[Work 1-19 Hrs]]+tblLabour2020[[#This Row],[Did nothing]]</f>
        <v>1638920.6</v>
      </c>
      <c r="W33" s="8">
        <f>tblLabour2020[[#This Row],[Unemployed]]/tblLabour2020[[#This Row],[Labour_Force]]</f>
        <v>0.41592318381858112</v>
      </c>
      <c r="X33" s="8">
        <f>tblLabour2020[[#This Row],[Work 20 -39 Hrs]]/tblLabour2020[[#This Row],[Labour_Force]]</f>
        <v>0.17633221015944256</v>
      </c>
      <c r="Y33" s="10">
        <v>2020</v>
      </c>
      <c r="Z33" s="4" t="s">
        <v>153</v>
      </c>
    </row>
    <row r="34" spans="1:26" x14ac:dyDescent="0.35">
      <c r="A34" s="5" t="s">
        <v>95</v>
      </c>
      <c r="B34" s="5" t="s">
        <v>28</v>
      </c>
      <c r="C34" s="5" t="s">
        <v>29</v>
      </c>
      <c r="D34" s="5" t="s">
        <v>146</v>
      </c>
      <c r="E34" s="6">
        <v>2706802.5</v>
      </c>
      <c r="F34" s="7">
        <f>tblLabour2020[[#This Row],[Labour_Force]]-tblLabour2020[[#This Row],[Unemployed]]</f>
        <v>958978.4800000001</v>
      </c>
      <c r="G34" s="7">
        <f>tblLabour2020[[#This Row],[Working_Age_Pop]]-tblLabour2020[[#This Row],[Labour_Force]]</f>
        <v>1585474.9</v>
      </c>
      <c r="H34" s="4">
        <v>1121327.6000000001</v>
      </c>
      <c r="J34" s="14">
        <f>tblLabour2020[[#This Row],[Employed]]/tblLabour2020[[#This Row],[Working_Age_Pop]]</f>
        <v>0.35428461441128423</v>
      </c>
      <c r="K34" s="14">
        <f>tblLabour2020[[#This Row],[Labour_Force]]/tblLabour2020[[#This Row],[Working_Age_Pop]]</f>
        <v>0.4142628063924132</v>
      </c>
      <c r="O34" s="4">
        <v>743910.5</v>
      </c>
      <c r="P34" s="4">
        <v>215067.9</v>
      </c>
      <c r="Q34" s="4">
        <v>79999.48</v>
      </c>
      <c r="R34" s="4">
        <v>82349.64</v>
      </c>
      <c r="V34" s="4">
        <f>tblLabour2020[[#This Row],[Work 1-19 Hrs]]+tblLabour2020[[#This Row],[Did nothing]]</f>
        <v>162349.12</v>
      </c>
      <c r="W34" s="8">
        <f>tblLabour2020[[#This Row],[Unemployed]]/tblLabour2020[[#This Row],[Labour_Force]]</f>
        <v>0.1447829519223463</v>
      </c>
      <c r="X34" s="8">
        <f>tblLabour2020[[#This Row],[Work 20 -39 Hrs]]/tblLabour2020[[#This Row],[Labour_Force]]</f>
        <v>0.19179756210406307</v>
      </c>
      <c r="Y34" s="10">
        <v>2020</v>
      </c>
      <c r="Z34" s="4" t="s">
        <v>153</v>
      </c>
    </row>
    <row r="35" spans="1:26" x14ac:dyDescent="0.35">
      <c r="A35" s="5" t="s">
        <v>97</v>
      </c>
      <c r="B35" s="5" t="s">
        <v>64</v>
      </c>
      <c r="C35" s="5" t="s">
        <v>65</v>
      </c>
      <c r="D35" s="5" t="s">
        <v>147</v>
      </c>
      <c r="E35" s="6">
        <v>1832572.2</v>
      </c>
      <c r="F35" s="7">
        <f>tblLabour2020[[#This Row],[Labour_Force]]-tblLabour2020[[#This Row],[Unemployed]]</f>
        <v>678166.44</v>
      </c>
      <c r="G35" s="7">
        <f>tblLabour2020[[#This Row],[Working_Age_Pop]]-tblLabour2020[[#This Row],[Labour_Force]]</f>
        <v>841844.7</v>
      </c>
      <c r="H35" s="4">
        <v>990727.5</v>
      </c>
      <c r="J35" s="14">
        <f>tblLabour2020[[#This Row],[Employed]]/tblLabour2020[[#This Row],[Working_Age_Pop]]</f>
        <v>0.3700626038090068</v>
      </c>
      <c r="K35" s="14">
        <f>tblLabour2020[[#This Row],[Labour_Force]]/tblLabour2020[[#This Row],[Working_Age_Pop]]</f>
        <v>0.54062126447187187</v>
      </c>
      <c r="O35" s="4">
        <v>319819</v>
      </c>
      <c r="P35" s="4">
        <v>358347.4</v>
      </c>
      <c r="Q35" s="4">
        <v>228488.9</v>
      </c>
      <c r="R35" s="4">
        <v>84072.16</v>
      </c>
      <c r="V35" s="4">
        <f>tblLabour2020[[#This Row],[Work 1-19 Hrs]]+tblLabour2020[[#This Row],[Did nothing]]</f>
        <v>312561.06</v>
      </c>
      <c r="W35" s="8">
        <f>tblLabour2020[[#This Row],[Unemployed]]/tblLabour2020[[#This Row],[Labour_Force]]</f>
        <v>0.31548640771554237</v>
      </c>
      <c r="X35" s="8">
        <f>tblLabour2020[[#This Row],[Work 20 -39 Hrs]]/tblLabour2020[[#This Row],[Labour_Force]]</f>
        <v>0.3617012750731155</v>
      </c>
      <c r="Y35" s="10">
        <v>2020</v>
      </c>
      <c r="Z35" s="4" t="s">
        <v>153</v>
      </c>
    </row>
    <row r="36" spans="1:26" x14ac:dyDescent="0.35">
      <c r="A36" s="5" t="s">
        <v>99</v>
      </c>
      <c r="B36" s="5" t="s">
        <v>24</v>
      </c>
      <c r="C36" s="5" t="s">
        <v>25</v>
      </c>
      <c r="D36" s="5" t="s">
        <v>148</v>
      </c>
      <c r="E36" s="6">
        <v>2117759.7999999998</v>
      </c>
      <c r="F36" s="7">
        <f>tblLabour2020[[#This Row],[Labour_Force]]-tblLabour2020[[#This Row],[Unemployed]]</f>
        <v>274670.59999999998</v>
      </c>
      <c r="G36" s="7">
        <f>tblLabour2020[[#This Row],[Working_Age_Pop]]-tblLabour2020[[#This Row],[Labour_Force]]</f>
        <v>1538643.0999999999</v>
      </c>
      <c r="H36" s="4">
        <v>579116.69999999995</v>
      </c>
      <c r="J36" s="14">
        <f>tblLabour2020[[#This Row],[Employed]]/tblLabour2020[[#This Row],[Working_Age_Pop]]</f>
        <v>0.12969865609877004</v>
      </c>
      <c r="K36" s="14">
        <f>tblLabour2020[[#This Row],[Labour_Force]]/tblLabour2020[[#This Row],[Working_Age_Pop]]</f>
        <v>0.27345721644163801</v>
      </c>
      <c r="O36" s="4">
        <v>149877.70000000001</v>
      </c>
      <c r="P36" s="4">
        <v>124792.9</v>
      </c>
      <c r="Q36" s="4">
        <v>231005.4</v>
      </c>
      <c r="R36" s="4">
        <v>73440.7</v>
      </c>
      <c r="V36" s="4">
        <f>tblLabour2020[[#This Row],[Work 1-19 Hrs]]+tblLabour2020[[#This Row],[Did nothing]]</f>
        <v>304446.09999999998</v>
      </c>
      <c r="W36" s="8">
        <f>tblLabour2020[[#This Row],[Unemployed]]/tblLabour2020[[#This Row],[Labour_Force]]</f>
        <v>0.52570768551485392</v>
      </c>
      <c r="X36" s="8">
        <f>tblLabour2020[[#This Row],[Work 20 -39 Hrs]]/tblLabour2020[[#This Row],[Labour_Force]]</f>
        <v>0.21548834630394875</v>
      </c>
      <c r="Y36" s="10">
        <v>2020</v>
      </c>
      <c r="Z36" s="4" t="s">
        <v>153</v>
      </c>
    </row>
    <row r="37" spans="1:26" x14ac:dyDescent="0.35">
      <c r="A37" s="5" t="s">
        <v>101</v>
      </c>
      <c r="B37" s="5" t="s">
        <v>24</v>
      </c>
      <c r="C37" s="5" t="s">
        <v>25</v>
      </c>
      <c r="D37" s="5" t="s">
        <v>149</v>
      </c>
      <c r="E37" s="6">
        <v>2558121.4</v>
      </c>
      <c r="F37" s="7">
        <f>tblLabour2020[[#This Row],[Labour_Force]]-tblLabour2020[[#This Row],[Unemployed]]</f>
        <v>1356542.3699999999</v>
      </c>
      <c r="G37" s="7">
        <f>tblLabour2020[[#This Row],[Working_Age_Pop]]-tblLabour2020[[#This Row],[Labour_Force]]</f>
        <v>999011.2</v>
      </c>
      <c r="H37" s="4">
        <v>1559110.2</v>
      </c>
      <c r="J37" s="14">
        <f>tblLabour2020[[#This Row],[Employed]]/tblLabour2020[[#This Row],[Working_Age_Pop]]</f>
        <v>0.53028850389977578</v>
      </c>
      <c r="K37" s="14">
        <f>tblLabour2020[[#This Row],[Labour_Force]]/tblLabour2020[[#This Row],[Working_Age_Pop]]</f>
        <v>0.60947467153044421</v>
      </c>
      <c r="O37" s="4">
        <v>705965.8</v>
      </c>
      <c r="P37" s="4">
        <v>650576.5</v>
      </c>
      <c r="Q37" s="4">
        <v>143196.29999999999</v>
      </c>
      <c r="R37" s="4">
        <v>59371.53</v>
      </c>
      <c r="V37" s="4">
        <f>tblLabour2020[[#This Row],[Work 1-19 Hrs]]+tblLabour2020[[#This Row],[Did nothing]]</f>
        <v>202567.83</v>
      </c>
      <c r="W37" s="8">
        <f>tblLabour2020[[#This Row],[Unemployed]]/tblLabour2020[[#This Row],[Labour_Force]]</f>
        <v>0.12992528045804588</v>
      </c>
      <c r="X37" s="8">
        <f>tblLabour2020[[#This Row],[Work 20 -39 Hrs]]/tblLabour2020[[#This Row],[Labour_Force]]</f>
        <v>0.41727422474691012</v>
      </c>
      <c r="Y37" s="10">
        <v>2020</v>
      </c>
      <c r="Z37" s="4" t="s">
        <v>153</v>
      </c>
    </row>
    <row r="38" spans="1:26" x14ac:dyDescent="0.35">
      <c r="A38" s="11" t="s">
        <v>103</v>
      </c>
      <c r="B38" s="11" t="s">
        <v>64</v>
      </c>
      <c r="C38" s="11" t="s">
        <v>65</v>
      </c>
      <c r="D38" s="11" t="s">
        <v>150</v>
      </c>
      <c r="E38" s="12">
        <v>2940208.7</v>
      </c>
      <c r="F38" s="7">
        <f>tblLabour2020[[#This Row],[Labour_Force]]-tblLabour2020[[#This Row],[Unemployed]]</f>
        <v>979320.2</v>
      </c>
      <c r="G38" s="7">
        <f>tblLabour2020[[#This Row],[Working_Age_Pop]]-tblLabour2020[[#This Row],[Labour_Force]]</f>
        <v>1296957.2000000002</v>
      </c>
      <c r="H38" s="4">
        <v>1643251.5</v>
      </c>
      <c r="J38" s="14">
        <f>tblLabour2020[[#This Row],[Employed]]/tblLabour2020[[#This Row],[Working_Age_Pop]]</f>
        <v>0.33307846480421605</v>
      </c>
      <c r="K38" s="14">
        <f>tblLabour2020[[#This Row],[Labour_Force]]/tblLabour2020[[#This Row],[Working_Age_Pop]]</f>
        <v>0.55888940808861631</v>
      </c>
      <c r="O38" s="4">
        <v>763787.3</v>
      </c>
      <c r="P38" s="4">
        <v>215532.9</v>
      </c>
      <c r="Q38" s="4">
        <v>260433.2</v>
      </c>
      <c r="R38" s="4">
        <v>403498.1</v>
      </c>
      <c r="V38" s="4">
        <f>tblLabour2020[[#This Row],[Work 1-19 Hrs]]+tblLabour2020[[#This Row],[Did nothing]]</f>
        <v>663931.30000000005</v>
      </c>
      <c r="W38" s="8">
        <f>tblLabour2020[[#This Row],[Unemployed]]/tblLabour2020[[#This Row],[Labour_Force]]</f>
        <v>0.40403510965911188</v>
      </c>
      <c r="X38" s="8">
        <f>tblLabour2020[[#This Row],[Work 20 -39 Hrs]]/tblLabour2020[[#This Row],[Labour_Force]]</f>
        <v>0.1311624544386541</v>
      </c>
      <c r="Y38" s="10">
        <v>2020</v>
      </c>
      <c r="Z38" s="4" t="s">
        <v>153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3BF91-3909-483C-904F-B54453DFC415}">
  <dimension ref="A1:D18"/>
  <sheetViews>
    <sheetView workbookViewId="0">
      <selection activeCell="B3" sqref="B3"/>
    </sheetView>
  </sheetViews>
  <sheetFormatPr defaultRowHeight="14.5" x14ac:dyDescent="0.35"/>
  <cols>
    <col min="1" max="1" width="20" bestFit="1" customWidth="1"/>
    <col min="2" max="2" width="12.6328125" bestFit="1" customWidth="1"/>
    <col min="3" max="3" width="6" bestFit="1" customWidth="1"/>
    <col min="4" max="4" width="10.6328125" bestFit="1" customWidth="1"/>
  </cols>
  <sheetData>
    <row r="1" spans="1:4" x14ac:dyDescent="0.35">
      <c r="A1" t="s">
        <v>155</v>
      </c>
      <c r="B1" t="s">
        <v>156</v>
      </c>
      <c r="C1" t="s">
        <v>157</v>
      </c>
      <c r="D1" t="s">
        <v>158</v>
      </c>
    </row>
    <row r="2" spans="1:4" x14ac:dyDescent="0.35">
      <c r="A2" t="s">
        <v>3</v>
      </c>
      <c r="B2" t="s">
        <v>164</v>
      </c>
    </row>
    <row r="3" spans="1:4" x14ac:dyDescent="0.35">
      <c r="A3" t="s">
        <v>159</v>
      </c>
    </row>
    <row r="4" spans="1:4" x14ac:dyDescent="0.35">
      <c r="A4" t="s">
        <v>160</v>
      </c>
    </row>
    <row r="5" spans="1:4" x14ac:dyDescent="0.35">
      <c r="A5" t="s">
        <v>105</v>
      </c>
    </row>
    <row r="6" spans="1:4" x14ac:dyDescent="0.35">
      <c r="A6" t="s">
        <v>107</v>
      </c>
    </row>
    <row r="7" spans="1:4" x14ac:dyDescent="0.35">
      <c r="A7" t="s">
        <v>5</v>
      </c>
    </row>
    <row r="8" spans="1:4" x14ac:dyDescent="0.35">
      <c r="A8" t="s">
        <v>6</v>
      </c>
    </row>
    <row r="9" spans="1:4" x14ac:dyDescent="0.35">
      <c r="A9" t="s">
        <v>112</v>
      </c>
    </row>
    <row r="10" spans="1:4" x14ac:dyDescent="0.35">
      <c r="A10" t="s">
        <v>161</v>
      </c>
    </row>
    <row r="11" spans="1:4" x14ac:dyDescent="0.35">
      <c r="A11" t="s">
        <v>9</v>
      </c>
    </row>
    <row r="12" spans="1:4" x14ac:dyDescent="0.35">
      <c r="A12" t="s">
        <v>10</v>
      </c>
    </row>
    <row r="13" spans="1:4" x14ac:dyDescent="0.35">
      <c r="A13" t="s">
        <v>162</v>
      </c>
    </row>
    <row r="14" spans="1:4" x14ac:dyDescent="0.35">
      <c r="A14" t="s">
        <v>163</v>
      </c>
    </row>
    <row r="15" spans="1:4" x14ac:dyDescent="0.35">
      <c r="A15" t="s">
        <v>15</v>
      </c>
    </row>
    <row r="16" spans="1:4" x14ac:dyDescent="0.35">
      <c r="A16" t="s">
        <v>16</v>
      </c>
    </row>
    <row r="17" spans="1:1" x14ac:dyDescent="0.35">
      <c r="A17" t="s">
        <v>151</v>
      </c>
    </row>
    <row r="18" spans="1:1" x14ac:dyDescent="0.35">
      <c r="A18" t="s">
        <v>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DFC51-FA49-460E-8517-78824998CC9C}">
  <dimension ref="A1:H38"/>
  <sheetViews>
    <sheetView workbookViewId="0">
      <selection sqref="A1:H38"/>
    </sheetView>
  </sheetViews>
  <sheetFormatPr defaultRowHeight="14.5" x14ac:dyDescent="0.35"/>
  <cols>
    <col min="1" max="1" width="11.6328125" bestFit="1" customWidth="1"/>
    <col min="2" max="2" width="10.1796875" bestFit="1" customWidth="1"/>
    <col min="3" max="3" width="20.08984375" customWidth="1"/>
    <col min="4" max="4" width="13.36328125" customWidth="1"/>
    <col min="5" max="5" width="15" customWidth="1"/>
    <col min="6" max="6" width="16.6328125" customWidth="1"/>
    <col min="7" max="7" width="19.453125" customWidth="1"/>
    <col min="8" max="8" width="17.6328125" customWidth="1"/>
  </cols>
  <sheetData>
    <row r="1" spans="1:8" x14ac:dyDescent="0.35">
      <c r="A1" t="s">
        <v>3</v>
      </c>
      <c r="B1" t="s">
        <v>0</v>
      </c>
      <c r="C1" t="s">
        <v>1</v>
      </c>
      <c r="D1" t="s">
        <v>2</v>
      </c>
      <c r="E1" t="s">
        <v>165</v>
      </c>
      <c r="F1" t="s">
        <v>173</v>
      </c>
      <c r="G1" t="s">
        <v>174</v>
      </c>
      <c r="H1" t="s">
        <v>175</v>
      </c>
    </row>
    <row r="2" spans="1:8" x14ac:dyDescent="0.35">
      <c r="A2" t="s">
        <v>22</v>
      </c>
      <c r="B2" t="s">
        <v>19</v>
      </c>
      <c r="C2" t="s">
        <v>20</v>
      </c>
      <c r="D2" t="s">
        <v>21</v>
      </c>
      <c r="E2">
        <v>4</v>
      </c>
      <c r="F2">
        <v>4143093</v>
      </c>
      <c r="G2">
        <v>2048425</v>
      </c>
      <c r="H2">
        <v>2094668</v>
      </c>
    </row>
    <row r="3" spans="1:8" x14ac:dyDescent="0.35">
      <c r="A3" t="s">
        <v>26</v>
      </c>
      <c r="B3" t="s">
        <v>23</v>
      </c>
      <c r="C3" t="s">
        <v>24</v>
      </c>
      <c r="D3" t="s">
        <v>25</v>
      </c>
      <c r="E3">
        <v>2</v>
      </c>
      <c r="F3">
        <v>4902055</v>
      </c>
      <c r="G3">
        <v>2455347</v>
      </c>
      <c r="H3">
        <v>2446708</v>
      </c>
    </row>
    <row r="4" spans="1:8" x14ac:dyDescent="0.35">
      <c r="A4" t="s">
        <v>30</v>
      </c>
      <c r="B4" t="s">
        <v>27</v>
      </c>
      <c r="C4" t="s">
        <v>28</v>
      </c>
      <c r="D4" t="s">
        <v>29</v>
      </c>
      <c r="E4">
        <v>5</v>
      </c>
      <c r="F4">
        <v>4979418</v>
      </c>
      <c r="G4">
        <v>2491436</v>
      </c>
      <c r="H4">
        <v>2487982</v>
      </c>
    </row>
    <row r="5" spans="1:8" x14ac:dyDescent="0.35">
      <c r="A5" t="s">
        <v>32</v>
      </c>
      <c r="B5" t="s">
        <v>31</v>
      </c>
      <c r="C5" t="s">
        <v>20</v>
      </c>
      <c r="D5" t="s">
        <v>21</v>
      </c>
      <c r="E5">
        <v>4</v>
      </c>
      <c r="F5">
        <v>5953517</v>
      </c>
      <c r="G5">
        <v>2970366</v>
      </c>
      <c r="H5">
        <v>2983151</v>
      </c>
    </row>
    <row r="6" spans="1:8" x14ac:dyDescent="0.35">
      <c r="A6" t="s">
        <v>34</v>
      </c>
      <c r="B6" t="s">
        <v>33</v>
      </c>
      <c r="C6" t="s">
        <v>24</v>
      </c>
      <c r="D6" t="s">
        <v>25</v>
      </c>
      <c r="E6">
        <v>2</v>
      </c>
      <c r="F6">
        <v>8308783</v>
      </c>
      <c r="G6">
        <v>4148535</v>
      </c>
      <c r="H6">
        <v>4160248</v>
      </c>
    </row>
    <row r="7" spans="1:8" x14ac:dyDescent="0.35">
      <c r="A7" t="s">
        <v>36</v>
      </c>
      <c r="B7" t="s">
        <v>35</v>
      </c>
      <c r="C7" t="s">
        <v>28</v>
      </c>
      <c r="D7" t="s">
        <v>29</v>
      </c>
      <c r="E7">
        <v>5</v>
      </c>
      <c r="F7">
        <v>2537375</v>
      </c>
      <c r="G7">
        <v>1270277</v>
      </c>
      <c r="H7">
        <v>1267098</v>
      </c>
    </row>
    <row r="8" spans="1:8" x14ac:dyDescent="0.35">
      <c r="A8" t="s">
        <v>40</v>
      </c>
      <c r="B8" t="s">
        <v>37</v>
      </c>
      <c r="C8" t="s">
        <v>38</v>
      </c>
      <c r="D8" t="s">
        <v>39</v>
      </c>
      <c r="E8">
        <v>1</v>
      </c>
      <c r="F8">
        <v>6141284</v>
      </c>
      <c r="G8">
        <v>3036178</v>
      </c>
      <c r="H8">
        <v>3105106</v>
      </c>
    </row>
    <row r="9" spans="1:8" x14ac:dyDescent="0.35">
      <c r="A9" t="s">
        <v>42</v>
      </c>
      <c r="B9" t="s">
        <v>41</v>
      </c>
      <c r="C9" t="s">
        <v>24</v>
      </c>
      <c r="D9" t="s">
        <v>25</v>
      </c>
      <c r="E9">
        <v>2</v>
      </c>
      <c r="F9">
        <v>6111462</v>
      </c>
      <c r="G9">
        <v>3082067</v>
      </c>
      <c r="H9">
        <v>3029395</v>
      </c>
    </row>
    <row r="10" spans="1:8" x14ac:dyDescent="0.35">
      <c r="A10" t="s">
        <v>44</v>
      </c>
      <c r="B10" t="s">
        <v>43</v>
      </c>
      <c r="C10" t="s">
        <v>28</v>
      </c>
      <c r="D10" t="s">
        <v>29</v>
      </c>
      <c r="E10">
        <v>5</v>
      </c>
      <c r="F10">
        <v>4406204</v>
      </c>
      <c r="G10">
        <v>2199203</v>
      </c>
      <c r="H10">
        <v>2207001</v>
      </c>
    </row>
    <row r="11" spans="1:8" x14ac:dyDescent="0.35">
      <c r="A11" t="s">
        <v>46</v>
      </c>
      <c r="B11" t="s">
        <v>45</v>
      </c>
      <c r="C11" t="s">
        <v>28</v>
      </c>
      <c r="D11" t="s">
        <v>29</v>
      </c>
      <c r="E11">
        <v>5</v>
      </c>
      <c r="F11">
        <v>5636145</v>
      </c>
      <c r="G11">
        <v>2806860</v>
      </c>
      <c r="H11">
        <v>2829285</v>
      </c>
    </row>
    <row r="12" spans="1:8" x14ac:dyDescent="0.35">
      <c r="A12" t="s">
        <v>48</v>
      </c>
      <c r="B12" t="s">
        <v>47</v>
      </c>
      <c r="C12" t="s">
        <v>20</v>
      </c>
      <c r="D12" t="s">
        <v>21</v>
      </c>
      <c r="E12">
        <v>4</v>
      </c>
      <c r="F12">
        <v>3242518</v>
      </c>
      <c r="G12">
        <v>1538774</v>
      </c>
      <c r="H12">
        <v>1703744</v>
      </c>
    </row>
    <row r="13" spans="1:8" x14ac:dyDescent="0.35">
      <c r="A13" t="s">
        <v>50</v>
      </c>
      <c r="B13" t="s">
        <v>49</v>
      </c>
      <c r="C13" t="s">
        <v>28</v>
      </c>
      <c r="D13" t="s">
        <v>29</v>
      </c>
      <c r="E13">
        <v>5</v>
      </c>
      <c r="F13">
        <v>4777042</v>
      </c>
      <c r="G13">
        <v>2394887</v>
      </c>
      <c r="H13">
        <v>2382155</v>
      </c>
    </row>
    <row r="14" spans="1:8" x14ac:dyDescent="0.35">
      <c r="A14" t="s">
        <v>54</v>
      </c>
      <c r="B14" t="s">
        <v>51</v>
      </c>
      <c r="C14" t="s">
        <v>52</v>
      </c>
      <c r="D14" t="s">
        <v>53</v>
      </c>
      <c r="E14">
        <v>6</v>
      </c>
      <c r="F14">
        <v>3592163</v>
      </c>
      <c r="G14">
        <v>1792685</v>
      </c>
      <c r="H14">
        <v>1799478</v>
      </c>
    </row>
    <row r="15" spans="1:8" x14ac:dyDescent="0.35">
      <c r="A15" t="s">
        <v>56</v>
      </c>
      <c r="B15" t="s">
        <v>55</v>
      </c>
      <c r="C15" t="s">
        <v>20</v>
      </c>
      <c r="D15" t="s">
        <v>21</v>
      </c>
      <c r="E15">
        <v>4</v>
      </c>
      <c r="F15">
        <v>4690053</v>
      </c>
      <c r="G15">
        <v>2238940</v>
      </c>
      <c r="H15">
        <v>2451113</v>
      </c>
    </row>
    <row r="16" spans="1:8" x14ac:dyDescent="0.35">
      <c r="A16" t="s">
        <v>58</v>
      </c>
      <c r="B16" t="s">
        <v>57</v>
      </c>
      <c r="C16" t="s">
        <v>38</v>
      </c>
      <c r="D16" t="s">
        <v>39</v>
      </c>
      <c r="E16">
        <v>1</v>
      </c>
      <c r="F16">
        <v>3067457</v>
      </c>
      <c r="G16">
        <v>1583259</v>
      </c>
      <c r="H16">
        <v>1484198</v>
      </c>
    </row>
    <row r="17" spans="1:8" x14ac:dyDescent="0.35">
      <c r="A17" t="s">
        <v>60</v>
      </c>
      <c r="B17" t="s">
        <v>59</v>
      </c>
      <c r="C17" t="s">
        <v>24</v>
      </c>
      <c r="D17" t="s">
        <v>25</v>
      </c>
      <c r="E17">
        <v>2</v>
      </c>
      <c r="F17">
        <v>3960122</v>
      </c>
      <c r="G17">
        <v>2052241</v>
      </c>
      <c r="H17">
        <v>1907881</v>
      </c>
    </row>
    <row r="18" spans="1:8" x14ac:dyDescent="0.35">
      <c r="A18" t="s">
        <v>62</v>
      </c>
      <c r="B18" t="s">
        <v>61</v>
      </c>
      <c r="C18" t="s">
        <v>20</v>
      </c>
      <c r="D18" t="s">
        <v>21</v>
      </c>
      <c r="E18">
        <v>4</v>
      </c>
      <c r="F18">
        <v>5459337</v>
      </c>
      <c r="G18">
        <v>2710727</v>
      </c>
      <c r="H18">
        <v>2748610</v>
      </c>
    </row>
    <row r="19" spans="1:8" x14ac:dyDescent="0.35">
      <c r="A19" t="s">
        <v>66</v>
      </c>
      <c r="B19" t="s">
        <v>63</v>
      </c>
      <c r="C19" t="s">
        <v>64</v>
      </c>
      <c r="D19" t="s">
        <v>65</v>
      </c>
      <c r="E19">
        <v>3</v>
      </c>
      <c r="F19">
        <v>7499059</v>
      </c>
      <c r="G19">
        <v>3704594</v>
      </c>
      <c r="H19">
        <v>3818803</v>
      </c>
    </row>
    <row r="20" spans="1:8" x14ac:dyDescent="0.35">
      <c r="A20" t="s">
        <v>68</v>
      </c>
      <c r="B20" t="s">
        <v>67</v>
      </c>
      <c r="C20" t="s">
        <v>64</v>
      </c>
      <c r="D20" t="s">
        <v>65</v>
      </c>
      <c r="E20">
        <v>3</v>
      </c>
      <c r="F20">
        <v>9032181</v>
      </c>
      <c r="G20">
        <v>4450617</v>
      </c>
      <c r="H20">
        <v>4581564</v>
      </c>
    </row>
    <row r="21" spans="1:8" x14ac:dyDescent="0.35">
      <c r="A21" t="s">
        <v>70</v>
      </c>
      <c r="B21" t="s">
        <v>69</v>
      </c>
      <c r="C21" t="s">
        <v>64</v>
      </c>
      <c r="D21" t="s">
        <v>65</v>
      </c>
      <c r="E21">
        <v>3</v>
      </c>
      <c r="F21">
        <v>15462177</v>
      </c>
      <c r="G21">
        <v>8025613</v>
      </c>
      <c r="H21">
        <v>7436564</v>
      </c>
    </row>
    <row r="22" spans="1:8" x14ac:dyDescent="0.35">
      <c r="A22" t="s">
        <v>72</v>
      </c>
      <c r="B22" t="s">
        <v>71</v>
      </c>
      <c r="C22" t="s">
        <v>64</v>
      </c>
      <c r="D22" t="s">
        <v>65</v>
      </c>
      <c r="E22">
        <v>3</v>
      </c>
      <c r="F22">
        <v>10368483</v>
      </c>
      <c r="G22">
        <v>5165079</v>
      </c>
      <c r="H22">
        <v>5203404</v>
      </c>
    </row>
    <row r="23" spans="1:8" x14ac:dyDescent="0.35">
      <c r="A23" t="s">
        <v>74</v>
      </c>
      <c r="B23" t="s">
        <v>73</v>
      </c>
      <c r="C23" t="s">
        <v>64</v>
      </c>
      <c r="D23" t="s">
        <v>65</v>
      </c>
      <c r="E23">
        <v>3</v>
      </c>
      <c r="F23">
        <v>5563907</v>
      </c>
      <c r="G23">
        <v>2734447</v>
      </c>
      <c r="H23">
        <v>2829460</v>
      </c>
    </row>
    <row r="24" spans="1:8" x14ac:dyDescent="0.35">
      <c r="A24" t="s">
        <v>76</v>
      </c>
      <c r="B24" t="s">
        <v>75</v>
      </c>
      <c r="C24" t="s">
        <v>38</v>
      </c>
      <c r="D24" t="s">
        <v>39</v>
      </c>
      <c r="E24">
        <v>1</v>
      </c>
      <c r="F24">
        <v>4466801</v>
      </c>
      <c r="G24">
        <v>2219653</v>
      </c>
      <c r="H24">
        <v>2247148</v>
      </c>
    </row>
    <row r="25" spans="1:8" x14ac:dyDescent="0.35">
      <c r="A25" t="s">
        <v>78</v>
      </c>
      <c r="B25" t="s">
        <v>77</v>
      </c>
      <c r="C25" t="s">
        <v>38</v>
      </c>
      <c r="D25" t="s">
        <v>39</v>
      </c>
      <c r="E25">
        <v>1</v>
      </c>
      <c r="F25">
        <v>3551023</v>
      </c>
      <c r="G25">
        <v>1759073</v>
      </c>
      <c r="H25">
        <v>1791950</v>
      </c>
    </row>
    <row r="26" spans="1:8" x14ac:dyDescent="0.35">
      <c r="A26" t="s">
        <v>80</v>
      </c>
      <c r="B26" t="s">
        <v>79</v>
      </c>
      <c r="C26" t="s">
        <v>52</v>
      </c>
      <c r="D26" t="s">
        <v>53</v>
      </c>
      <c r="E26">
        <v>6</v>
      </c>
      <c r="F26">
        <v>13491804</v>
      </c>
      <c r="G26">
        <v>6949233</v>
      </c>
      <c r="H26">
        <v>6542571</v>
      </c>
    </row>
    <row r="27" spans="1:8" x14ac:dyDescent="0.35">
      <c r="A27" t="s">
        <v>82</v>
      </c>
      <c r="B27" t="s">
        <v>81</v>
      </c>
      <c r="C27" t="s">
        <v>38</v>
      </c>
      <c r="D27" t="s">
        <v>39</v>
      </c>
      <c r="E27">
        <v>1</v>
      </c>
      <c r="F27">
        <v>2886022</v>
      </c>
      <c r="G27">
        <v>1422557</v>
      </c>
      <c r="H27">
        <v>1463465</v>
      </c>
    </row>
    <row r="28" spans="1:8" x14ac:dyDescent="0.35">
      <c r="A28" t="s">
        <v>84</v>
      </c>
      <c r="B28" t="s">
        <v>83</v>
      </c>
      <c r="C28" t="s">
        <v>38</v>
      </c>
      <c r="D28" t="s">
        <v>39</v>
      </c>
      <c r="E28">
        <v>1</v>
      </c>
      <c r="F28">
        <v>6783325</v>
      </c>
      <c r="G28">
        <v>3356404</v>
      </c>
      <c r="H28">
        <v>3426921</v>
      </c>
    </row>
    <row r="29" spans="1:8" x14ac:dyDescent="0.35">
      <c r="A29" t="s">
        <v>86</v>
      </c>
      <c r="B29" t="s">
        <v>85</v>
      </c>
      <c r="C29" t="s">
        <v>52</v>
      </c>
      <c r="D29" t="s">
        <v>53</v>
      </c>
      <c r="E29">
        <v>6</v>
      </c>
      <c r="F29">
        <v>6379532</v>
      </c>
      <c r="G29">
        <v>3146947</v>
      </c>
      <c r="H29">
        <v>3232585</v>
      </c>
    </row>
    <row r="30" spans="1:8" x14ac:dyDescent="0.35">
      <c r="A30" t="s">
        <v>88</v>
      </c>
      <c r="B30" t="s">
        <v>87</v>
      </c>
      <c r="C30" t="s">
        <v>52</v>
      </c>
      <c r="D30" t="s">
        <v>53</v>
      </c>
      <c r="E30">
        <v>6</v>
      </c>
      <c r="F30">
        <v>5316603</v>
      </c>
      <c r="G30">
        <v>2645721</v>
      </c>
      <c r="H30">
        <v>2670882</v>
      </c>
    </row>
    <row r="31" spans="1:8" x14ac:dyDescent="0.35">
      <c r="A31" t="s">
        <v>90</v>
      </c>
      <c r="B31" t="s">
        <v>89</v>
      </c>
      <c r="C31" t="s">
        <v>52</v>
      </c>
      <c r="D31" t="s">
        <v>53</v>
      </c>
      <c r="E31">
        <v>6</v>
      </c>
      <c r="F31">
        <v>4435803</v>
      </c>
      <c r="G31">
        <v>2215842</v>
      </c>
      <c r="H31">
        <v>2219961</v>
      </c>
    </row>
    <row r="32" spans="1:8" x14ac:dyDescent="0.35">
      <c r="A32" t="s">
        <v>92</v>
      </c>
      <c r="B32" t="s">
        <v>91</v>
      </c>
      <c r="C32" t="s">
        <v>52</v>
      </c>
      <c r="D32" t="s">
        <v>53</v>
      </c>
      <c r="E32">
        <v>6</v>
      </c>
      <c r="F32">
        <v>7976081</v>
      </c>
      <c r="G32">
        <v>3956035</v>
      </c>
      <c r="H32">
        <v>4020046</v>
      </c>
    </row>
    <row r="33" spans="1:8" x14ac:dyDescent="0.35">
      <c r="A33" t="s">
        <v>94</v>
      </c>
      <c r="B33" t="s">
        <v>93</v>
      </c>
      <c r="C33" t="s">
        <v>38</v>
      </c>
      <c r="D33" t="s">
        <v>39</v>
      </c>
      <c r="E33">
        <v>1</v>
      </c>
      <c r="F33">
        <v>4717305</v>
      </c>
      <c r="G33">
        <v>2308911</v>
      </c>
      <c r="H33">
        <v>2408394</v>
      </c>
    </row>
    <row r="34" spans="1:8" x14ac:dyDescent="0.35">
      <c r="A34" t="s">
        <v>96</v>
      </c>
      <c r="B34" t="s">
        <v>95</v>
      </c>
      <c r="C34" t="s">
        <v>28</v>
      </c>
      <c r="D34" t="s">
        <v>29</v>
      </c>
      <c r="E34">
        <v>5</v>
      </c>
      <c r="F34">
        <v>7476805</v>
      </c>
      <c r="G34">
        <v>3791238</v>
      </c>
      <c r="H34">
        <v>3685567</v>
      </c>
    </row>
    <row r="35" spans="1:8" x14ac:dyDescent="0.35">
      <c r="A35" t="s">
        <v>98</v>
      </c>
      <c r="B35" t="s">
        <v>97</v>
      </c>
      <c r="C35" t="s">
        <v>64</v>
      </c>
      <c r="D35" t="s">
        <v>65</v>
      </c>
      <c r="E35">
        <v>3</v>
      </c>
      <c r="F35">
        <v>6391047</v>
      </c>
      <c r="G35">
        <v>3153501</v>
      </c>
      <c r="H35">
        <v>3237546</v>
      </c>
    </row>
    <row r="36" spans="1:8" x14ac:dyDescent="0.35">
      <c r="A36" t="s">
        <v>100</v>
      </c>
      <c r="B36" t="s">
        <v>99</v>
      </c>
      <c r="C36" t="s">
        <v>24</v>
      </c>
      <c r="D36" t="s">
        <v>25</v>
      </c>
      <c r="E36">
        <v>2</v>
      </c>
      <c r="F36">
        <v>3609843</v>
      </c>
      <c r="G36">
        <v>1809411</v>
      </c>
      <c r="H36">
        <v>1800432</v>
      </c>
    </row>
    <row r="37" spans="1:8" x14ac:dyDescent="0.35">
      <c r="A37" t="s">
        <v>102</v>
      </c>
      <c r="B37" t="s">
        <v>101</v>
      </c>
      <c r="C37" t="s">
        <v>24</v>
      </c>
      <c r="D37" t="s">
        <v>25</v>
      </c>
      <c r="E37">
        <v>2</v>
      </c>
      <c r="F37">
        <v>3649607</v>
      </c>
      <c r="G37">
        <v>1854775</v>
      </c>
      <c r="H37">
        <v>1794832</v>
      </c>
    </row>
    <row r="38" spans="1:8" x14ac:dyDescent="0.35">
      <c r="A38" t="s">
        <v>104</v>
      </c>
      <c r="B38" t="s">
        <v>103</v>
      </c>
      <c r="C38" t="s">
        <v>64</v>
      </c>
      <c r="D38" t="s">
        <v>65</v>
      </c>
      <c r="E38">
        <v>3</v>
      </c>
      <c r="F38">
        <v>5833494</v>
      </c>
      <c r="G38">
        <v>2873601</v>
      </c>
      <c r="H38">
        <v>2959893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65E22-30D3-4335-B308-57E56FFD4036}">
  <dimension ref="A1:D38"/>
  <sheetViews>
    <sheetView workbookViewId="0">
      <selection activeCell="B9" sqref="B9"/>
    </sheetView>
  </sheetViews>
  <sheetFormatPr defaultRowHeight="14.5" x14ac:dyDescent="0.35"/>
  <cols>
    <col min="1" max="1" width="16.36328125" bestFit="1" customWidth="1"/>
    <col min="2" max="2" width="17.26953125" customWidth="1"/>
    <col min="3" max="3" width="15.81640625" customWidth="1"/>
    <col min="4" max="4" width="17.1796875" customWidth="1"/>
  </cols>
  <sheetData>
    <row r="1" spans="1:4" x14ac:dyDescent="0.35">
      <c r="A1" t="s">
        <v>3</v>
      </c>
      <c r="B1" t="s">
        <v>173</v>
      </c>
      <c r="C1" t="s">
        <v>174</v>
      </c>
      <c r="D1" t="s">
        <v>175</v>
      </c>
    </row>
    <row r="2" spans="1:4" x14ac:dyDescent="0.35">
      <c r="A2" t="s">
        <v>22</v>
      </c>
      <c r="B2">
        <v>4143093</v>
      </c>
      <c r="C2">
        <v>2048425</v>
      </c>
      <c r="D2">
        <v>2094668</v>
      </c>
    </row>
    <row r="3" spans="1:4" x14ac:dyDescent="0.35">
      <c r="A3" t="s">
        <v>26</v>
      </c>
      <c r="B3">
        <v>4902055</v>
      </c>
      <c r="C3">
        <v>2455347</v>
      </c>
      <c r="D3">
        <v>2446708</v>
      </c>
    </row>
    <row r="4" spans="1:4" x14ac:dyDescent="0.35">
      <c r="A4" t="s">
        <v>30</v>
      </c>
      <c r="B4">
        <v>4979418</v>
      </c>
      <c r="C4">
        <v>2491436</v>
      </c>
      <c r="D4">
        <v>2487982</v>
      </c>
    </row>
    <row r="5" spans="1:4" x14ac:dyDescent="0.35">
      <c r="A5" t="s">
        <v>32</v>
      </c>
      <c r="B5">
        <v>5953517</v>
      </c>
      <c r="C5">
        <v>2970366</v>
      </c>
      <c r="D5">
        <v>2983151</v>
      </c>
    </row>
    <row r="6" spans="1:4" x14ac:dyDescent="0.35">
      <c r="A6" t="s">
        <v>34</v>
      </c>
      <c r="B6">
        <v>8308783</v>
      </c>
      <c r="C6">
        <v>4148535</v>
      </c>
      <c r="D6">
        <v>4160248</v>
      </c>
    </row>
    <row r="7" spans="1:4" x14ac:dyDescent="0.35">
      <c r="A7" t="s">
        <v>36</v>
      </c>
      <c r="B7">
        <v>2537375</v>
      </c>
      <c r="C7">
        <v>1270277</v>
      </c>
      <c r="D7">
        <v>1267098</v>
      </c>
    </row>
    <row r="8" spans="1:4" x14ac:dyDescent="0.35">
      <c r="A8" t="s">
        <v>40</v>
      </c>
      <c r="B8">
        <v>6141284</v>
      </c>
      <c r="C8">
        <v>3036178</v>
      </c>
      <c r="D8">
        <v>3105106</v>
      </c>
    </row>
    <row r="9" spans="1:4" x14ac:dyDescent="0.35">
      <c r="A9" t="s">
        <v>42</v>
      </c>
      <c r="B9">
        <v>6111462</v>
      </c>
      <c r="C9">
        <v>3082067</v>
      </c>
      <c r="D9">
        <v>3029395</v>
      </c>
    </row>
    <row r="10" spans="1:4" x14ac:dyDescent="0.35">
      <c r="A10" t="s">
        <v>44</v>
      </c>
      <c r="B10">
        <v>4406204</v>
      </c>
      <c r="C10">
        <v>2199203</v>
      </c>
      <c r="D10">
        <v>2207001</v>
      </c>
    </row>
    <row r="11" spans="1:4" x14ac:dyDescent="0.35">
      <c r="A11" t="s">
        <v>46</v>
      </c>
      <c r="B11">
        <v>5636145</v>
      </c>
      <c r="C11">
        <v>2806860</v>
      </c>
      <c r="D11">
        <v>2829285</v>
      </c>
    </row>
    <row r="12" spans="1:4" x14ac:dyDescent="0.35">
      <c r="A12" t="s">
        <v>48</v>
      </c>
      <c r="B12">
        <v>3242518</v>
      </c>
      <c r="C12">
        <v>1538774</v>
      </c>
      <c r="D12">
        <v>1703744</v>
      </c>
    </row>
    <row r="13" spans="1:4" x14ac:dyDescent="0.35">
      <c r="A13" t="s">
        <v>50</v>
      </c>
      <c r="B13">
        <v>4777042</v>
      </c>
      <c r="C13">
        <v>2394887</v>
      </c>
      <c r="D13">
        <v>2382155</v>
      </c>
    </row>
    <row r="14" spans="1:4" x14ac:dyDescent="0.35">
      <c r="A14" t="s">
        <v>54</v>
      </c>
      <c r="B14">
        <v>3592163</v>
      </c>
      <c r="C14">
        <v>1792685</v>
      </c>
      <c r="D14">
        <v>1799478</v>
      </c>
    </row>
    <row r="15" spans="1:4" x14ac:dyDescent="0.35">
      <c r="A15" t="s">
        <v>56</v>
      </c>
      <c r="B15">
        <v>4690053</v>
      </c>
      <c r="C15">
        <v>2238940</v>
      </c>
      <c r="D15">
        <v>2451113</v>
      </c>
    </row>
    <row r="16" spans="1:4" x14ac:dyDescent="0.35">
      <c r="A16" t="s">
        <v>58</v>
      </c>
      <c r="B16">
        <v>3067457</v>
      </c>
      <c r="C16">
        <v>1583259</v>
      </c>
      <c r="D16">
        <v>1484198</v>
      </c>
    </row>
    <row r="17" spans="1:4" x14ac:dyDescent="0.35">
      <c r="A17" t="s">
        <v>60</v>
      </c>
      <c r="B17">
        <v>3960122</v>
      </c>
      <c r="C17">
        <v>2052241</v>
      </c>
      <c r="D17">
        <v>1907881</v>
      </c>
    </row>
    <row r="18" spans="1:4" x14ac:dyDescent="0.35">
      <c r="A18" t="s">
        <v>62</v>
      </c>
      <c r="B18">
        <v>5459337</v>
      </c>
      <c r="C18">
        <v>2710727</v>
      </c>
      <c r="D18">
        <v>2748610</v>
      </c>
    </row>
    <row r="19" spans="1:4" x14ac:dyDescent="0.35">
      <c r="A19" t="s">
        <v>66</v>
      </c>
      <c r="B19">
        <v>7499059</v>
      </c>
      <c r="C19">
        <v>3704594</v>
      </c>
      <c r="D19">
        <v>3818803</v>
      </c>
    </row>
    <row r="20" spans="1:4" x14ac:dyDescent="0.35">
      <c r="A20" t="s">
        <v>68</v>
      </c>
      <c r="B20">
        <v>9032181</v>
      </c>
      <c r="C20">
        <v>4450617</v>
      </c>
      <c r="D20">
        <v>4581564</v>
      </c>
    </row>
    <row r="21" spans="1:4" x14ac:dyDescent="0.35">
      <c r="A21" t="s">
        <v>70</v>
      </c>
      <c r="B21">
        <v>15462177</v>
      </c>
      <c r="C21">
        <v>8025613</v>
      </c>
      <c r="D21">
        <v>7436564</v>
      </c>
    </row>
    <row r="22" spans="1:4" x14ac:dyDescent="0.35">
      <c r="A22" t="s">
        <v>72</v>
      </c>
      <c r="B22">
        <v>10368483</v>
      </c>
      <c r="C22">
        <v>5165079</v>
      </c>
      <c r="D22">
        <v>5203404</v>
      </c>
    </row>
    <row r="23" spans="1:4" x14ac:dyDescent="0.35">
      <c r="A23" t="s">
        <v>74</v>
      </c>
      <c r="B23">
        <v>5563907</v>
      </c>
      <c r="C23">
        <v>2734447</v>
      </c>
      <c r="D23">
        <v>2829460</v>
      </c>
    </row>
    <row r="24" spans="1:4" x14ac:dyDescent="0.35">
      <c r="A24" t="s">
        <v>76</v>
      </c>
      <c r="B24">
        <v>4466801</v>
      </c>
      <c r="C24">
        <v>2219653</v>
      </c>
      <c r="D24">
        <v>2247148</v>
      </c>
    </row>
    <row r="25" spans="1:4" x14ac:dyDescent="0.35">
      <c r="A25" t="s">
        <v>78</v>
      </c>
      <c r="B25">
        <v>3551023</v>
      </c>
      <c r="C25">
        <v>1759073</v>
      </c>
      <c r="D25">
        <v>1791950</v>
      </c>
    </row>
    <row r="26" spans="1:4" x14ac:dyDescent="0.35">
      <c r="A26" t="s">
        <v>80</v>
      </c>
      <c r="B26">
        <v>13491804</v>
      </c>
      <c r="C26">
        <v>6949233</v>
      </c>
      <c r="D26">
        <v>6542571</v>
      </c>
    </row>
    <row r="27" spans="1:4" x14ac:dyDescent="0.35">
      <c r="A27" t="s">
        <v>82</v>
      </c>
      <c r="B27">
        <v>2886022</v>
      </c>
      <c r="C27">
        <v>1422557</v>
      </c>
      <c r="D27">
        <v>1463465</v>
      </c>
    </row>
    <row r="28" spans="1:4" x14ac:dyDescent="0.35">
      <c r="A28" t="s">
        <v>84</v>
      </c>
      <c r="B28">
        <v>6783325</v>
      </c>
      <c r="C28">
        <v>3356404</v>
      </c>
      <c r="D28">
        <v>3426921</v>
      </c>
    </row>
    <row r="29" spans="1:4" x14ac:dyDescent="0.35">
      <c r="A29" t="s">
        <v>86</v>
      </c>
      <c r="B29">
        <v>6379532</v>
      </c>
      <c r="C29">
        <v>3146947</v>
      </c>
      <c r="D29">
        <v>3232585</v>
      </c>
    </row>
    <row r="30" spans="1:4" x14ac:dyDescent="0.35">
      <c r="A30" t="s">
        <v>88</v>
      </c>
      <c r="B30">
        <v>5316603</v>
      </c>
      <c r="C30">
        <v>2645721</v>
      </c>
      <c r="D30">
        <v>2670882</v>
      </c>
    </row>
    <row r="31" spans="1:4" x14ac:dyDescent="0.35">
      <c r="A31" t="s">
        <v>90</v>
      </c>
      <c r="B31">
        <v>4435803</v>
      </c>
      <c r="C31">
        <v>2215842</v>
      </c>
      <c r="D31">
        <v>2219961</v>
      </c>
    </row>
    <row r="32" spans="1:4" x14ac:dyDescent="0.35">
      <c r="A32" t="s">
        <v>92</v>
      </c>
      <c r="B32">
        <v>7976081</v>
      </c>
      <c r="C32">
        <v>3956035</v>
      </c>
      <c r="D32">
        <v>4020046</v>
      </c>
    </row>
    <row r="33" spans="1:4" x14ac:dyDescent="0.35">
      <c r="A33" t="s">
        <v>94</v>
      </c>
      <c r="B33">
        <v>4717305</v>
      </c>
      <c r="C33">
        <v>2308911</v>
      </c>
      <c r="D33">
        <v>2408394</v>
      </c>
    </row>
    <row r="34" spans="1:4" x14ac:dyDescent="0.35">
      <c r="A34" t="s">
        <v>96</v>
      </c>
      <c r="B34">
        <v>7476805</v>
      </c>
      <c r="C34">
        <v>3791238</v>
      </c>
      <c r="D34">
        <v>3685567</v>
      </c>
    </row>
    <row r="35" spans="1:4" x14ac:dyDescent="0.35">
      <c r="A35" t="s">
        <v>98</v>
      </c>
      <c r="B35">
        <v>6391047</v>
      </c>
      <c r="C35">
        <v>3153501</v>
      </c>
      <c r="D35">
        <v>3237546</v>
      </c>
    </row>
    <row r="36" spans="1:4" x14ac:dyDescent="0.35">
      <c r="A36" t="s">
        <v>100</v>
      </c>
      <c r="B36">
        <v>3609843</v>
      </c>
      <c r="C36">
        <v>1809411</v>
      </c>
      <c r="D36">
        <v>1800432</v>
      </c>
    </row>
    <row r="37" spans="1:4" x14ac:dyDescent="0.35">
      <c r="A37" t="s">
        <v>102</v>
      </c>
      <c r="B37">
        <v>3649607</v>
      </c>
      <c r="C37">
        <v>1854775</v>
      </c>
      <c r="D37">
        <v>1794832</v>
      </c>
    </row>
    <row r="38" spans="1:4" x14ac:dyDescent="0.35">
      <c r="A38" t="s">
        <v>104</v>
      </c>
      <c r="B38">
        <v>5833494</v>
      </c>
      <c r="C38">
        <v>2873601</v>
      </c>
      <c r="D38">
        <v>2959893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A596B-EF60-40C2-A84A-A238D8711631}">
  <dimension ref="A1:F3"/>
  <sheetViews>
    <sheetView workbookViewId="0">
      <selection activeCell="A3" sqref="A3"/>
    </sheetView>
  </sheetViews>
  <sheetFormatPr defaultRowHeight="14.5" x14ac:dyDescent="0.35"/>
  <cols>
    <col min="1" max="1" width="9.08984375" bestFit="1" customWidth="1"/>
    <col min="3" max="3" width="9.08984375" customWidth="1"/>
    <col min="4" max="4" width="16.6328125" customWidth="1"/>
    <col min="5" max="5" width="12.81640625" customWidth="1"/>
    <col min="6" max="6" width="10.81640625" customWidth="1"/>
  </cols>
  <sheetData>
    <row r="1" spans="1:6" x14ac:dyDescent="0.35">
      <c r="A1" t="s">
        <v>167</v>
      </c>
      <c r="B1" t="s">
        <v>151</v>
      </c>
      <c r="C1" t="s">
        <v>152</v>
      </c>
      <c r="D1" t="s">
        <v>168</v>
      </c>
      <c r="E1" t="s">
        <v>169</v>
      </c>
      <c r="F1" t="s">
        <v>170</v>
      </c>
    </row>
    <row r="2" spans="1:6" x14ac:dyDescent="0.35">
      <c r="A2" s="16">
        <v>43840</v>
      </c>
      <c r="B2">
        <v>2020</v>
      </c>
      <c r="C2" t="s">
        <v>153</v>
      </c>
      <c r="D2">
        <v>4</v>
      </c>
      <c r="E2" t="s">
        <v>171</v>
      </c>
      <c r="F2">
        <v>20204</v>
      </c>
    </row>
    <row r="3" spans="1:6" x14ac:dyDescent="0.35">
      <c r="A3" s="16">
        <v>44565</v>
      </c>
      <c r="B3">
        <v>2022</v>
      </c>
      <c r="C3" t="s">
        <v>154</v>
      </c>
      <c r="D3">
        <v>2</v>
      </c>
      <c r="E3" t="s">
        <v>172</v>
      </c>
      <c r="F3">
        <v>20222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8AC7C-1FD5-428E-88BC-67E59EF20B03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23CBAB-09AD-4DE4-9104-C83CB89AC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Labour_Master</vt:lpstr>
      <vt:lpstr>tblLabour2022</vt:lpstr>
      <vt:lpstr>tblLabour2020</vt:lpstr>
      <vt:lpstr>Column_Mapping</vt:lpstr>
      <vt:lpstr>State_Lookup</vt:lpstr>
      <vt:lpstr>tblPopulation</vt:lpstr>
      <vt:lpstr>tblCalendar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2026-07-28T07:55:03Z</dcterms:created>
  <dcterms:modified xsi:type="dcterms:W3CDTF">2026-08-20T15:22:12Z</dcterms:modified>
</cp:coreProperties>
</file>